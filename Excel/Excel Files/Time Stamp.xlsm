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ster\OneDrive - Foster BI Services\"/>
    </mc:Choice>
  </mc:AlternateContent>
  <xr:revisionPtr revIDLastSave="0" documentId="13_ncr:1_{51E02CAE-C862-4687-8C8A-C7E707173368}" xr6:coauthVersionLast="36" xr6:coauthVersionMax="36" xr10:uidLastSave="{00000000-0000-0000-0000-000000000000}"/>
  <bookViews>
    <workbookView xWindow="0" yWindow="0" windowWidth="28800" windowHeight="11340" xr2:uid="{09296F07-2469-485E-9CEB-1AD23810CE3D}"/>
  </bookViews>
  <sheets>
    <sheet name="Punches" sheetId="2" r:id="rId1"/>
    <sheet name="TimeSheet" sheetId="1" r:id="rId2"/>
    <sheet name="Invoice" sheetId="3" r:id="rId3"/>
    <sheet name="Week Ending Dates" sheetId="4" r:id="rId4"/>
  </sheets>
  <definedNames>
    <definedName name="_xlnm.Print_Area" localSheetId="2">Invoice!$A$1:$H$34</definedName>
    <definedName name="valuevx">42.314159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G40" i="1" s="1"/>
  <c r="F2" i="1"/>
  <c r="G15" i="3" l="1"/>
  <c r="G4" i="3" l="1"/>
  <c r="B2" i="4" l="1"/>
  <c r="G14" i="3" l="1"/>
  <c r="G16" i="3"/>
  <c r="G17" i="3"/>
  <c r="G18" i="3"/>
  <c r="G19" i="3"/>
  <c r="G20" i="3"/>
  <c r="G21" i="3"/>
  <c r="G22" i="3"/>
  <c r="G23" i="3"/>
  <c r="G24" i="3"/>
  <c r="G25" i="3"/>
  <c r="G26" i="3"/>
  <c r="G27" i="3" l="1"/>
  <c r="G29" i="3" s="1"/>
  <c r="G31" i="3" s="1"/>
</calcChain>
</file>

<file path=xl/sharedStrings.xml><?xml version="1.0" encoding="utf-8"?>
<sst xmlns="http://schemas.openxmlformats.org/spreadsheetml/2006/main" count="170" uniqueCount="99">
  <si>
    <t>Date</t>
  </si>
  <si>
    <t>Start</t>
  </si>
  <si>
    <t>LunchIn</t>
  </si>
  <si>
    <t>LunchOut</t>
  </si>
  <si>
    <t>Stop</t>
  </si>
  <si>
    <t>Clock out for Lunch</t>
  </si>
  <si>
    <t>Clock In from lunch</t>
  </si>
  <si>
    <t>Clock out for day</t>
  </si>
  <si>
    <t>Clock in for day</t>
  </si>
  <si>
    <t>Thank You For Your Business!</t>
  </si>
  <si>
    <t>TOTAL</t>
  </si>
  <si>
    <t>DISCOUNT</t>
  </si>
  <si>
    <t>2. Please deposit to the account on file</t>
  </si>
  <si>
    <t>TAX</t>
  </si>
  <si>
    <t>1. Total payment due in 30 days</t>
  </si>
  <si>
    <t>TAX RATE</t>
  </si>
  <si>
    <t>OTHER COMMENTS</t>
  </si>
  <si>
    <t>SUBTOTAL</t>
  </si>
  <si>
    <t>AMOUNT</t>
  </si>
  <si>
    <t>RATE</t>
  </si>
  <si>
    <t>HOURS</t>
  </si>
  <si>
    <t>DESCRIPTION</t>
  </si>
  <si>
    <t>steven@fosterbiservices.com</t>
  </si>
  <si>
    <t>EMAIL ADDRESS</t>
  </si>
  <si>
    <t>Phone: (513) 225-2407</t>
  </si>
  <si>
    <t>Phone: (513) 304-3491</t>
  </si>
  <si>
    <t>Cincinnati, OH 45209</t>
  </si>
  <si>
    <t>Amelia, Ohio 45102</t>
  </si>
  <si>
    <t>3500 Madison Road</t>
  </si>
  <si>
    <t xml:space="preserve"> TO   </t>
  </si>
  <si>
    <t>2191 State Route 125 #13</t>
  </si>
  <si>
    <t xml:space="preserve">INFO   </t>
  </si>
  <si>
    <t>Crossroads Church c/o Adam Batoszek</t>
  </si>
  <si>
    <t xml:space="preserve">BILL  </t>
  </si>
  <si>
    <t>Steven Foster</t>
  </si>
  <si>
    <t xml:space="preserve">MAILING  </t>
  </si>
  <si>
    <t xml:space="preserve">DATE  </t>
  </si>
  <si>
    <t>CRDS-0001</t>
  </si>
  <si>
    <t xml:space="preserve">INVOICE #  </t>
  </si>
  <si>
    <t>INVOICE</t>
  </si>
  <si>
    <t>CRDS-0052</t>
  </si>
  <si>
    <t>CRDS-0051</t>
  </si>
  <si>
    <t>CRDS-0050</t>
  </si>
  <si>
    <t>CRDS-0049</t>
  </si>
  <si>
    <t>CRDS-0048</t>
  </si>
  <si>
    <t>CRDS-0047</t>
  </si>
  <si>
    <t>CRDS-0046</t>
  </si>
  <si>
    <t>CRDS-0045</t>
  </si>
  <si>
    <t>CRDS-0044</t>
  </si>
  <si>
    <t>CRDS-0043</t>
  </si>
  <si>
    <t>CRDS-0042</t>
  </si>
  <si>
    <t>CRDS-0041</t>
  </si>
  <si>
    <t>CRDS-0040</t>
  </si>
  <si>
    <t>CRDS-0039</t>
  </si>
  <si>
    <t>CRDS-0038</t>
  </si>
  <si>
    <t>CRDS-0037</t>
  </si>
  <si>
    <t>CRDS-0036</t>
  </si>
  <si>
    <t>CRDS-0035</t>
  </si>
  <si>
    <t>CRDS-0034</t>
  </si>
  <si>
    <t>CRDS-0033</t>
  </si>
  <si>
    <t>CRDS-0032</t>
  </si>
  <si>
    <t>CRDS-0031</t>
  </si>
  <si>
    <t>CRDS-0030</t>
  </si>
  <si>
    <t>CRDS-0029</t>
  </si>
  <si>
    <t>CRDS-0028</t>
  </si>
  <si>
    <t>CRDS-0027</t>
  </si>
  <si>
    <t>CRDS-0026</t>
  </si>
  <si>
    <t>CRDS-0025</t>
  </si>
  <si>
    <t>CRDS-0024</t>
  </si>
  <si>
    <t>CRDS-0023</t>
  </si>
  <si>
    <t>CRDS-0022</t>
  </si>
  <si>
    <t>CRDS-0021</t>
  </si>
  <si>
    <t>CRDS-0020</t>
  </si>
  <si>
    <t>CRDS-0019</t>
  </si>
  <si>
    <t>CRDS-0018</t>
  </si>
  <si>
    <t>CRDS-0017</t>
  </si>
  <si>
    <t>CRDS-0016</t>
  </si>
  <si>
    <t>CRDS-0015</t>
  </si>
  <si>
    <t>CRDS-0014</t>
  </si>
  <si>
    <t>CRDS-0013</t>
  </si>
  <si>
    <t>CRDS-0012</t>
  </si>
  <si>
    <t>CRDS-0011</t>
  </si>
  <si>
    <t>CRDS-0010</t>
  </si>
  <si>
    <t>CRDS-0009</t>
  </si>
  <si>
    <t>CRDS-0008</t>
  </si>
  <si>
    <t>CRDS-0007</t>
  </si>
  <si>
    <t>CRDS-0006</t>
  </si>
  <si>
    <t>CRDS-0005</t>
  </si>
  <si>
    <t>CRDS-0004</t>
  </si>
  <si>
    <t>CRDS-0003</t>
  </si>
  <si>
    <t>CRDS-0002</t>
  </si>
  <si>
    <t>Week Ending Date</t>
  </si>
  <si>
    <t>Invoice Number</t>
  </si>
  <si>
    <t>Total Time</t>
  </si>
  <si>
    <t xml:space="preserve">Invoiced? </t>
  </si>
  <si>
    <t>DecimalTime</t>
  </si>
  <si>
    <t>Yes</t>
  </si>
  <si>
    <t>Create Invoice PDF and Email</t>
  </si>
  <si>
    <t>Hours Serviced from 9/16/2018 - 9/22/2018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</si>
</sst>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hh:mm:ss"/>
    <numFmt numFmtId="166" formatCode="0.000%"/>
  </numFmts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Trebuchet MS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4"/>
      <name val="Arial"/>
      <family val="2"/>
    </font>
    <font>
      <sz val="11"/>
      <color theme="1"/>
      <name val="Arial"/>
      <family val="2"/>
    </font>
    <font>
      <b/>
      <sz val="8"/>
      <color theme="4"/>
      <name val="Arial"/>
      <family val="2"/>
    </font>
    <font>
      <b/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9"/>
      <name val="Arial"/>
      <family val="2"/>
    </font>
    <font>
      <u/>
      <sz val="10"/>
      <color indexed="12"/>
      <name val="Verdana"/>
      <family val="2"/>
    </font>
    <font>
      <u/>
      <sz val="9"/>
      <color indexed="12"/>
      <name val="Verdana"/>
      <family val="2"/>
    </font>
    <font>
      <sz val="9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8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24"/>
      <color theme="4"/>
      <name val="Arial"/>
      <family val="2"/>
    </font>
    <font>
      <sz val="24"/>
      <color theme="4" tint="0.39997558519241921"/>
      <name val="Arial"/>
      <family val="2"/>
    </font>
    <font>
      <sz val="30"/>
      <color theme="4"/>
      <name val="Arial"/>
      <family val="2"/>
    </font>
    <font>
      <b/>
      <sz val="28"/>
      <color theme="4"/>
      <name val="Arial"/>
      <family val="2"/>
    </font>
    <font>
      <sz val="10"/>
      <color theme="4" tint="-0.24997711111789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thin">
        <color theme="4"/>
      </left>
      <right/>
      <top/>
      <bottom style="hair">
        <color theme="0" tint="-0.34998626667073579"/>
      </bottom>
      <diagonal/>
    </border>
    <border>
      <left style="thin">
        <color theme="4"/>
      </left>
      <right style="thin">
        <color theme="4"/>
      </right>
      <top/>
      <bottom style="hair">
        <color theme="0" tint="-0.34998626667073579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hair">
        <color theme="0" tint="-0.34998626667073579"/>
      </right>
      <top/>
      <bottom/>
      <diagonal/>
    </border>
  </borders>
  <cellStyleXfs count="3">
    <xf numFmtId="0" fontId="0" fillId="0" borderId="0"/>
    <xf numFmtId="0" fontId="3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4" borderId="0" xfId="0" applyFill="1"/>
    <xf numFmtId="19" fontId="0" fillId="4" borderId="0" xfId="0" applyNumberForma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9" fontId="0" fillId="0" borderId="0" xfId="0" applyNumberFormat="1"/>
    <xf numFmtId="165" fontId="0" fillId="0" borderId="0" xfId="0" applyNumberFormat="1"/>
    <xf numFmtId="0" fontId="4" fillId="0" borderId="0" xfId="1" applyFont="1"/>
    <xf numFmtId="0" fontId="4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6" fillId="4" borderId="0" xfId="1" applyFont="1" applyFill="1" applyBorder="1" applyAlignment="1" applyProtection="1">
      <alignment horizontal="left" vertical="center"/>
      <protection locked="0"/>
    </xf>
    <xf numFmtId="0" fontId="6" fillId="4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0" fontId="8" fillId="7" borderId="1" xfId="1" applyFont="1" applyFill="1" applyBorder="1" applyAlignment="1">
      <alignment vertical="center"/>
    </xf>
    <xf numFmtId="44" fontId="9" fillId="7" borderId="1" xfId="1" applyNumberFormat="1" applyFont="1" applyFill="1" applyBorder="1" applyAlignment="1">
      <alignment horizontal="right" vertical="center"/>
    </xf>
    <xf numFmtId="0" fontId="9" fillId="7" borderId="1" xfId="1" applyFont="1" applyFill="1" applyBorder="1" applyAlignment="1">
      <alignment horizontal="right" vertical="center" indent="1"/>
    </xf>
    <xf numFmtId="0" fontId="10" fillId="4" borderId="0" xfId="1" applyFont="1" applyFill="1" applyBorder="1" applyAlignment="1">
      <alignment horizontal="left"/>
    </xf>
    <xf numFmtId="44" fontId="5" fillId="4" borderId="0" xfId="1" applyNumberFormat="1" applyFont="1" applyFill="1" applyBorder="1" applyAlignment="1">
      <alignment horizontal="right" vertical="center"/>
    </xf>
    <xf numFmtId="0" fontId="10" fillId="4" borderId="0" xfId="1" applyFont="1" applyFill="1" applyBorder="1" applyAlignment="1">
      <alignment horizontal="right" vertical="center" indent="1"/>
    </xf>
    <xf numFmtId="0" fontId="4" fillId="0" borderId="0" xfId="1" applyFont="1" applyBorder="1"/>
    <xf numFmtId="166" fontId="6" fillId="4" borderId="0" xfId="1" applyNumberFormat="1" applyFont="1" applyFill="1" applyBorder="1" applyAlignment="1" applyProtection="1">
      <alignment horizontal="right" vertical="center"/>
      <protection locked="0"/>
    </xf>
    <xf numFmtId="0" fontId="11" fillId="4" borderId="0" xfId="1" applyFont="1" applyFill="1" applyBorder="1" applyAlignment="1">
      <alignment horizontal="left" vertical="center"/>
    </xf>
    <xf numFmtId="0" fontId="6" fillId="4" borderId="2" xfId="1" applyFont="1" applyFill="1" applyBorder="1" applyAlignment="1">
      <alignment vertical="center"/>
    </xf>
    <xf numFmtId="44" fontId="5" fillId="4" borderId="2" xfId="1" applyNumberFormat="1" applyFont="1" applyFill="1" applyBorder="1" applyAlignment="1">
      <alignment horizontal="right" vertical="center"/>
    </xf>
    <xf numFmtId="0" fontId="10" fillId="4" borderId="2" xfId="1" applyFont="1" applyFill="1" applyBorder="1" applyAlignment="1">
      <alignment horizontal="right" vertical="center" indent="1"/>
    </xf>
    <xf numFmtId="0" fontId="6" fillId="4" borderId="2" xfId="1" applyFont="1" applyFill="1" applyBorder="1"/>
    <xf numFmtId="0" fontId="8" fillId="0" borderId="3" xfId="1" applyFont="1" applyFill="1" applyBorder="1"/>
    <xf numFmtId="43" fontId="8" fillId="0" borderId="4" xfId="1" applyNumberFormat="1" applyFont="1" applyFill="1" applyBorder="1" applyAlignment="1" applyProtection="1">
      <alignment horizontal="right" vertical="center"/>
      <protection locked="0"/>
    </xf>
    <xf numFmtId="8" fontId="8" fillId="4" borderId="5" xfId="1" applyNumberFormat="1" applyFont="1" applyFill="1" applyBorder="1" applyAlignment="1" applyProtection="1">
      <alignment horizontal="right" vertical="center" indent="1"/>
      <protection locked="0"/>
    </xf>
    <xf numFmtId="2" fontId="8" fillId="4" borderId="5" xfId="1" applyNumberFormat="1" applyFont="1" applyFill="1" applyBorder="1" applyAlignment="1" applyProtection="1">
      <alignment horizontal="center" vertical="center"/>
      <protection locked="0"/>
    </xf>
    <xf numFmtId="0" fontId="8" fillId="4" borderId="3" xfId="1" applyFont="1" applyFill="1" applyBorder="1" applyAlignment="1" applyProtection="1">
      <alignment vertical="center"/>
      <protection locked="0"/>
    </xf>
    <xf numFmtId="0" fontId="8" fillId="4" borderId="3" xfId="1" applyFont="1" applyFill="1" applyBorder="1"/>
    <xf numFmtId="14" fontId="8" fillId="4" borderId="3" xfId="1" applyNumberFormat="1" applyFont="1" applyFill="1" applyBorder="1" applyAlignment="1" applyProtection="1">
      <alignment horizontal="center" vertical="center"/>
      <protection locked="0"/>
    </xf>
    <xf numFmtId="0" fontId="12" fillId="4" borderId="6" xfId="1" applyFont="1" applyFill="1" applyBorder="1" applyAlignment="1">
      <alignment vertical="center"/>
    </xf>
    <xf numFmtId="0" fontId="11" fillId="4" borderId="6" xfId="1" applyFont="1" applyFill="1" applyBorder="1" applyAlignment="1">
      <alignment horizontal="right" vertical="center"/>
    </xf>
    <xf numFmtId="0" fontId="11" fillId="4" borderId="7" xfId="1" applyFont="1" applyFill="1" applyBorder="1" applyAlignment="1">
      <alignment horizontal="center" vertical="center"/>
    </xf>
    <xf numFmtId="0" fontId="13" fillId="4" borderId="6" xfId="1" applyFont="1" applyFill="1" applyBorder="1" applyAlignment="1">
      <alignment vertical="center"/>
    </xf>
    <xf numFmtId="0" fontId="13" fillId="4" borderId="6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vertical="center"/>
    </xf>
    <xf numFmtId="0" fontId="8" fillId="4" borderId="6" xfId="1" applyFont="1" applyFill="1" applyBorder="1" applyAlignment="1">
      <alignment vertical="center"/>
    </xf>
    <xf numFmtId="0" fontId="4" fillId="4" borderId="0" xfId="1" applyFont="1" applyFill="1"/>
    <xf numFmtId="0" fontId="12" fillId="4" borderId="0" xfId="1" applyFont="1" applyFill="1" applyBorder="1"/>
    <xf numFmtId="0" fontId="12" fillId="4" borderId="0" xfId="1" applyFont="1" applyFill="1" applyBorder="1" applyAlignment="1">
      <alignment horizontal="left"/>
    </xf>
    <xf numFmtId="0" fontId="8" fillId="4" borderId="0" xfId="1" applyFont="1" applyFill="1" applyBorder="1" applyAlignment="1" applyProtection="1">
      <alignment horizontal="left" indent="1"/>
      <protection locked="0"/>
    </xf>
    <xf numFmtId="0" fontId="8" fillId="4" borderId="0" xfId="1" applyFont="1" applyFill="1" applyBorder="1"/>
    <xf numFmtId="0" fontId="6" fillId="4" borderId="0" xfId="1" applyFont="1" applyFill="1" applyBorder="1"/>
    <xf numFmtId="0" fontId="6" fillId="4" borderId="0" xfId="1" applyFont="1" applyFill="1" applyBorder="1" applyAlignment="1" applyProtection="1">
      <alignment horizontal="left" indent="1"/>
      <protection locked="0"/>
    </xf>
    <xf numFmtId="0" fontId="14" fillId="4" borderId="0" xfId="1" applyFont="1" applyFill="1" applyBorder="1" applyAlignment="1">
      <alignment horizontal="right"/>
    </xf>
    <xf numFmtId="0" fontId="15" fillId="4" borderId="8" xfId="1" applyFont="1" applyFill="1" applyBorder="1" applyAlignment="1">
      <alignment horizontal="right"/>
    </xf>
    <xf numFmtId="0" fontId="16" fillId="0" borderId="0" xfId="1" applyFont="1"/>
    <xf numFmtId="0" fontId="14" fillId="4" borderId="8" xfId="1" applyFont="1" applyFill="1" applyBorder="1" applyAlignment="1">
      <alignment horizontal="right"/>
    </xf>
    <xf numFmtId="0" fontId="18" fillId="4" borderId="0" xfId="2" applyFont="1" applyFill="1" applyBorder="1" applyAlignment="1" applyProtection="1">
      <alignment horizontal="left" indent="1"/>
      <protection locked="0"/>
    </xf>
    <xf numFmtId="0" fontId="19" fillId="4" borderId="0" xfId="1" applyFont="1" applyFill="1" applyBorder="1" applyAlignment="1" applyProtection="1">
      <alignment horizontal="left" vertical="top"/>
      <protection locked="0"/>
    </xf>
    <xf numFmtId="0" fontId="6" fillId="0" borderId="0" xfId="1" applyFont="1" applyBorder="1"/>
    <xf numFmtId="0" fontId="19" fillId="4" borderId="0" xfId="1" applyFont="1" applyFill="1" applyBorder="1" applyAlignment="1" applyProtection="1">
      <alignment horizontal="left" vertical="center"/>
      <protection locked="0"/>
    </xf>
    <xf numFmtId="14" fontId="19" fillId="4" borderId="0" xfId="1" applyNumberFormat="1" applyFont="1" applyFill="1" applyBorder="1" applyAlignment="1" applyProtection="1">
      <alignment horizontal="left"/>
      <protection locked="0"/>
    </xf>
    <xf numFmtId="0" fontId="14" fillId="4" borderId="8" xfId="1" applyFont="1" applyFill="1" applyBorder="1" applyAlignment="1">
      <alignment horizontal="right" vertical="top"/>
    </xf>
    <xf numFmtId="0" fontId="15" fillId="4" borderId="8" xfId="1" applyFont="1" applyFill="1" applyBorder="1" applyAlignment="1">
      <alignment horizontal="right" vertical="top"/>
    </xf>
    <xf numFmtId="0" fontId="5" fillId="4" borderId="0" xfId="1" applyFont="1" applyFill="1" applyBorder="1" applyAlignment="1" applyProtection="1">
      <alignment horizontal="left" indent="1"/>
      <protection locked="0"/>
    </xf>
    <xf numFmtId="0" fontId="20" fillId="4" borderId="8" xfId="1" applyFont="1" applyFill="1" applyBorder="1" applyAlignment="1">
      <alignment horizontal="right"/>
    </xf>
    <xf numFmtId="0" fontId="20" fillId="4" borderId="0" xfId="2" applyFont="1" applyFill="1" applyBorder="1" applyAlignment="1" applyProtection="1">
      <alignment horizontal="right" vertical="center" indent="1"/>
      <protection locked="0"/>
    </xf>
    <xf numFmtId="0" fontId="5" fillId="4" borderId="0" xfId="1" applyFont="1" applyFill="1" applyBorder="1" applyAlignment="1" applyProtection="1">
      <alignment horizontal="left" vertical="top"/>
      <protection locked="0"/>
    </xf>
    <xf numFmtId="0" fontId="20" fillId="4" borderId="0" xfId="2" applyFont="1" applyFill="1" applyBorder="1" applyAlignment="1" applyProtection="1">
      <alignment horizontal="left" vertical="center" indent="1"/>
      <protection locked="0"/>
    </xf>
    <xf numFmtId="0" fontId="21" fillId="0" borderId="0" xfId="1" applyFont="1" applyAlignment="1">
      <alignment vertical="center"/>
    </xf>
    <xf numFmtId="0" fontId="21" fillId="0" borderId="0" xfId="1" applyNumberFormat="1" applyFont="1" applyAlignment="1">
      <alignment vertical="center"/>
    </xf>
    <xf numFmtId="0" fontId="20" fillId="4" borderId="0" xfId="1" applyFont="1" applyFill="1" applyBorder="1" applyAlignment="1">
      <alignment vertical="center"/>
    </xf>
    <xf numFmtId="14" fontId="20" fillId="4" borderId="0" xfId="1" applyNumberFormat="1" applyFont="1" applyFill="1" applyBorder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righ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20" fillId="4" borderId="0" xfId="2" applyFont="1" applyFill="1" applyBorder="1" applyAlignment="1" applyProtection="1">
      <alignment horizontal="right" vertical="center"/>
      <protection locked="0"/>
    </xf>
    <xf numFmtId="0" fontId="22" fillId="4" borderId="6" xfId="1" applyFont="1" applyFill="1" applyBorder="1" applyAlignment="1">
      <alignment vertical="top"/>
    </xf>
    <xf numFmtId="0" fontId="23" fillId="4" borderId="6" xfId="1" applyFont="1" applyFill="1" applyBorder="1" applyAlignment="1">
      <alignment vertical="top"/>
    </xf>
    <xf numFmtId="0" fontId="24" fillId="4" borderId="0" xfId="1" applyFont="1" applyFill="1" applyBorder="1" applyAlignment="1"/>
    <xf numFmtId="0" fontId="25" fillId="4" borderId="0" xfId="1" applyFont="1" applyFill="1" applyBorder="1" applyAlignment="1">
      <alignment horizontal="right"/>
    </xf>
    <xf numFmtId="0" fontId="26" fillId="4" borderId="0" xfId="1" applyFont="1" applyFill="1" applyBorder="1" applyAlignment="1"/>
    <xf numFmtId="0" fontId="27" fillId="4" borderId="0" xfId="1" applyFont="1" applyFill="1" applyBorder="1" applyAlignment="1"/>
    <xf numFmtId="0" fontId="28" fillId="4" borderId="0" xfId="1" applyFont="1" applyFill="1" applyBorder="1"/>
    <xf numFmtId="0" fontId="3" fillId="0" borderId="0" xfId="1"/>
    <xf numFmtId="0" fontId="20" fillId="4" borderId="0" xfId="2" applyFont="1" applyFill="1" applyBorder="1" applyAlignment="1" applyProtection="1">
      <alignment horizontal="left" vertical="center"/>
      <protection locked="0"/>
    </xf>
    <xf numFmtId="14" fontId="3" fillId="0" borderId="0" xfId="1" applyNumberFormat="1"/>
    <xf numFmtId="14" fontId="20" fillId="4" borderId="0" xfId="2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/>
    <xf numFmtId="14" fontId="0" fillId="4" borderId="0" xfId="0" applyNumberFormat="1" applyFill="1"/>
    <xf numFmtId="0" fontId="0" fillId="8" borderId="0" xfId="0" applyFill="1"/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4" borderId="0" xfId="1" applyFont="1" applyFill="1" applyBorder="1" applyAlignment="1" applyProtection="1">
      <alignment horizontal="center" vertical="center"/>
      <protection locked="0"/>
    </xf>
    <xf numFmtId="0" fontId="6" fillId="4" borderId="0" xfId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560887D8-4E71-45B2-9C82-DE9164C80E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419100</xdr:colOff>
      <xdr:row>6</xdr:row>
      <xdr:rowOff>114300</xdr:rowOff>
    </xdr:to>
    <xdr:pic macro="[0]!EnterStartTime">
      <xdr:nvPicPr>
        <xdr:cNvPr id="8" name="Picture 7" descr="Image result for time clock images">
          <a:extLst>
            <a:ext uri="{FF2B5EF4-FFF2-40B4-BE49-F238E27FC236}">
              <a16:creationId xmlns:a16="http://schemas.microsoft.com/office/drawing/2014/main" id="{7AE5769D-913D-4930-BF31-F64D207FB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880"/>
          <a:ext cx="102870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502920</xdr:colOff>
      <xdr:row>7</xdr:row>
      <xdr:rowOff>15240</xdr:rowOff>
    </xdr:to>
    <xdr:pic macro="[0]!EnterLunchStartTime">
      <xdr:nvPicPr>
        <xdr:cNvPr id="10" name="Picture 9" descr="Image result for lunch icon">
          <a:extLst>
            <a:ext uri="{FF2B5EF4-FFF2-40B4-BE49-F238E27FC236}">
              <a16:creationId xmlns:a16="http://schemas.microsoft.com/office/drawing/2014/main" id="{D6B057BF-583D-42F6-BF9F-F62CB3285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2880"/>
          <a:ext cx="111252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388620</xdr:colOff>
      <xdr:row>1</xdr:row>
      <xdr:rowOff>22861</xdr:rowOff>
    </xdr:from>
    <xdr:to>
      <xdr:col>11</xdr:col>
      <xdr:colOff>227257</xdr:colOff>
      <xdr:row>8</xdr:row>
      <xdr:rowOff>76201</xdr:rowOff>
    </xdr:to>
    <xdr:pic macro="[0]!EnterLunchEndTime">
      <xdr:nvPicPr>
        <xdr:cNvPr id="11" name="Picture 10" descr="Image result for back to work">
          <a:extLst>
            <a:ext uri="{FF2B5EF4-FFF2-40B4-BE49-F238E27FC236}">
              <a16:creationId xmlns:a16="http://schemas.microsoft.com/office/drawing/2014/main" id="{B7C8844D-6AF5-4DE5-8DF3-639989A01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6620" y="205741"/>
          <a:ext cx="1667437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114300</xdr:colOff>
      <xdr:row>1</xdr:row>
      <xdr:rowOff>91440</xdr:rowOff>
    </xdr:from>
    <xdr:to>
      <xdr:col>14</xdr:col>
      <xdr:colOff>472869</xdr:colOff>
      <xdr:row>7</xdr:row>
      <xdr:rowOff>53340</xdr:rowOff>
    </xdr:to>
    <xdr:pic macro="[0]!EnterEndTime">
      <xdr:nvPicPr>
        <xdr:cNvPr id="12" name="Picture 11" descr="Image result for go home">
          <a:extLst>
            <a:ext uri="{FF2B5EF4-FFF2-40B4-BE49-F238E27FC236}">
              <a16:creationId xmlns:a16="http://schemas.microsoft.com/office/drawing/2014/main" id="{7C45EAFB-F20D-4F45-AE6B-5BAD033FF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100" y="274320"/>
          <a:ext cx="968169" cy="105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7621</xdr:colOff>
      <xdr:row>9</xdr:row>
      <xdr:rowOff>15241</xdr:rowOff>
    </xdr:from>
    <xdr:to>
      <xdr:col>9</xdr:col>
      <xdr:colOff>1906</xdr:colOff>
      <xdr:row>15</xdr:row>
      <xdr:rowOff>121921</xdr:rowOff>
    </xdr:to>
    <xdr:pic macro="[0]!GenerateInvoiceandSaveAsPDF">
      <xdr:nvPicPr>
        <xdr:cNvPr id="5" name="Picture 4">
          <a:extLst>
            <a:ext uri="{FF2B5EF4-FFF2-40B4-BE49-F238E27FC236}">
              <a16:creationId xmlns:a16="http://schemas.microsoft.com/office/drawing/2014/main" id="{D8D591D1-6F4F-4DD7-BC8D-96FEF1B7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4821" y="1661161"/>
          <a:ext cx="1203960" cy="1203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teven@fosterbiservice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78418-C6C9-43F2-9091-5EB3EDFFE3B1}">
  <sheetPr codeName="Sheet1"/>
  <dimension ref="A1:XFC17"/>
  <sheetViews>
    <sheetView tabSelected="1" workbookViewId="0"/>
  </sheetViews>
  <sheetFormatPr defaultColWidth="0" defaultRowHeight="15" zeroHeight="1" x14ac:dyDescent="0.25"/>
  <cols>
    <col min="1" max="17" width="8.85546875" style="3" customWidth="1"/>
    <col min="18" max="16382" width="8.85546875" style="3" hidden="1"/>
    <col min="16383" max="16383" width="3.7109375" style="3" hidden="1"/>
    <col min="16384" max="16384" width="5.5703125" style="3" hidden="1"/>
  </cols>
  <sheetData>
    <row r="1" spans="2:15" x14ac:dyDescent="0.25">
      <c r="B1" s="86" t="s">
        <v>8</v>
      </c>
      <c r="C1" s="86"/>
      <c r="D1" s="6"/>
      <c r="E1" s="5"/>
      <c r="F1" s="87" t="s">
        <v>5</v>
      </c>
      <c r="G1" s="87"/>
      <c r="H1" s="6"/>
      <c r="I1" s="6"/>
      <c r="J1" s="88" t="s">
        <v>6</v>
      </c>
      <c r="K1" s="88"/>
      <c r="L1" s="6"/>
      <c r="M1" s="6"/>
      <c r="N1" s="89" t="s">
        <v>7</v>
      </c>
      <c r="O1" s="89"/>
    </row>
    <row r="2" spans="2:15" x14ac:dyDescent="0.25">
      <c r="B2"/>
      <c r="F2"/>
      <c r="J2"/>
      <c r="N2"/>
    </row>
    <row r="3" spans="2:15" x14ac:dyDescent="0.25"/>
    <row r="4" spans="2:15" x14ac:dyDescent="0.25">
      <c r="F4" s="4"/>
    </row>
    <row r="5" spans="2:15" x14ac:dyDescent="0.25"/>
    <row r="6" spans="2:15" x14ac:dyDescent="0.25"/>
    <row r="7" spans="2:15" x14ac:dyDescent="0.25"/>
    <row r="8" spans="2:15" x14ac:dyDescent="0.25"/>
    <row r="9" spans="2:15" x14ac:dyDescent="0.25">
      <c r="G9" s="86" t="s">
        <v>97</v>
      </c>
      <c r="H9" s="86"/>
      <c r="I9" s="86"/>
      <c r="J9" s="86"/>
    </row>
    <row r="10" spans="2:15" x14ac:dyDescent="0.25"/>
    <row r="11" spans="2:15" x14ac:dyDescent="0.25"/>
    <row r="12" spans="2:15" x14ac:dyDescent="0.25"/>
    <row r="13" spans="2:15" x14ac:dyDescent="0.25"/>
    <row r="14" spans="2:15" x14ac:dyDescent="0.25"/>
    <row r="15" spans="2:15" x14ac:dyDescent="0.25"/>
    <row r="16" spans="2:15" x14ac:dyDescent="0.25"/>
    <row r="17" spans="17:17" x14ac:dyDescent="0.25">
      <c r="Q17"/>
    </row>
  </sheetData>
  <mergeCells count="5">
    <mergeCell ref="G9:J9"/>
    <mergeCell ref="B1:C1"/>
    <mergeCell ref="F1:G1"/>
    <mergeCell ref="J1:K1"/>
    <mergeCell ref="N1:O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19B14-4D96-4B7C-99CC-9D509CCDDE16}">
  <sheetPr codeName="Sheet2"/>
  <dimension ref="A1:L40"/>
  <sheetViews>
    <sheetView topLeftCell="A8" zoomScaleNormal="100" workbookViewId="0"/>
  </sheetViews>
  <sheetFormatPr defaultRowHeight="15" x14ac:dyDescent="0.25"/>
  <cols>
    <col min="1" max="1" width="20.42578125" customWidth="1"/>
    <col min="2" max="2" width="10.7109375" style="2" bestFit="1" customWidth="1"/>
    <col min="3" max="3" width="11.28515625" style="2" bestFit="1" customWidth="1"/>
    <col min="4" max="4" width="11.7109375" bestFit="1" customWidth="1"/>
    <col min="5" max="5" width="11.5703125" bestFit="1" customWidth="1"/>
    <col min="6" max="6" width="9.7109375" style="8" bestFit="1" customWidth="1"/>
    <col min="7" max="7" width="11.5703125" style="83" bestFit="1" customWidth="1"/>
    <col min="8" max="8" width="9.28515625" bestFit="1" customWidth="1"/>
    <col min="9" max="9" width="14" bestFit="1" customWidth="1"/>
    <col min="10" max="10" width="11.5703125" customWidth="1"/>
    <col min="12" max="12" width="9.7109375" bestFit="1" customWidth="1"/>
  </cols>
  <sheetData>
    <row r="1" spans="1:12" x14ac:dyDescent="0.25">
      <c r="A1" t="s">
        <v>0</v>
      </c>
      <c r="B1" s="2" t="s">
        <v>1</v>
      </c>
      <c r="C1" s="2" t="s">
        <v>3</v>
      </c>
      <c r="D1" t="s">
        <v>2</v>
      </c>
      <c r="E1" t="s">
        <v>4</v>
      </c>
      <c r="F1" s="8" t="s">
        <v>93</v>
      </c>
      <c r="G1" s="83" t="s">
        <v>95</v>
      </c>
      <c r="H1" t="s">
        <v>94</v>
      </c>
      <c r="I1" t="s">
        <v>92</v>
      </c>
    </row>
    <row r="2" spans="1:12" x14ac:dyDescent="0.25">
      <c r="A2" s="1">
        <v>43311</v>
      </c>
      <c r="B2" s="2">
        <v>0.29166666666666669</v>
      </c>
      <c r="D2" s="2"/>
      <c r="E2" s="2">
        <v>0.63541666666666663</v>
      </c>
      <c r="F2" s="8">
        <f>MROUND(IF(AND(C2="",D2=""),E2-B2,(E2-B2) - (D2-C2)),"0:15")</f>
        <v>0.34375</v>
      </c>
      <c r="G2" s="83">
        <f>(F2-INT(F2))*24</f>
        <v>8.25</v>
      </c>
      <c r="H2" t="s">
        <v>96</v>
      </c>
      <c r="I2" s="85" t="s">
        <v>37</v>
      </c>
      <c r="L2" s="1"/>
    </row>
    <row r="3" spans="1:12" x14ac:dyDescent="0.25">
      <c r="A3" s="1">
        <v>43312</v>
      </c>
      <c r="B3" s="2">
        <v>0.29166666666666669</v>
      </c>
      <c r="C3" s="2">
        <v>0.5</v>
      </c>
      <c r="D3" s="7">
        <v>0.53873842592592591</v>
      </c>
      <c r="E3" s="7">
        <v>0.65541666666666665</v>
      </c>
      <c r="F3" s="8">
        <f t="shared" ref="F3:F40" si="0">MROUND(IF(AND(C3="",D3=""),E3-B3,(E3-B3) - (D3-C3)),"0:15")</f>
        <v>0.32291666666666663</v>
      </c>
      <c r="G3" s="83">
        <f t="shared" ref="G3:G40" si="1">(F3-INT(F3))*24</f>
        <v>7.7499999999999991</v>
      </c>
      <c r="H3" t="s">
        <v>96</v>
      </c>
      <c r="I3" s="85" t="s">
        <v>37</v>
      </c>
    </row>
    <row r="4" spans="1:12" x14ac:dyDescent="0.25">
      <c r="A4" s="1">
        <v>43313</v>
      </c>
      <c r="B4" s="2">
        <v>0.29071759259259261</v>
      </c>
      <c r="C4" s="2">
        <v>0.49680555555555556</v>
      </c>
      <c r="D4" s="7">
        <v>0.51106481481481481</v>
      </c>
      <c r="E4" s="7">
        <v>0.63531250000000006</v>
      </c>
      <c r="F4" s="8">
        <f t="shared" si="0"/>
        <v>0.33333333333333331</v>
      </c>
      <c r="G4" s="83">
        <f t="shared" si="1"/>
        <v>8</v>
      </c>
      <c r="H4" t="s">
        <v>96</v>
      </c>
      <c r="I4" s="85" t="s">
        <v>37</v>
      </c>
    </row>
    <row r="5" spans="1:12" x14ac:dyDescent="0.25">
      <c r="A5" s="1">
        <v>43314</v>
      </c>
      <c r="B5" s="2">
        <v>0.29115740740740742</v>
      </c>
      <c r="C5" s="2">
        <v>0.46134259259259264</v>
      </c>
      <c r="D5" s="7">
        <v>0.47928240740740741</v>
      </c>
      <c r="E5" s="7">
        <v>0.63687499999999997</v>
      </c>
      <c r="F5" s="8">
        <f t="shared" si="0"/>
        <v>0.32291666666666663</v>
      </c>
      <c r="G5" s="83">
        <f t="shared" si="1"/>
        <v>7.7499999999999991</v>
      </c>
      <c r="H5" t="s">
        <v>96</v>
      </c>
      <c r="I5" s="85" t="s">
        <v>37</v>
      </c>
    </row>
    <row r="6" spans="1:12" x14ac:dyDescent="0.25">
      <c r="A6" s="1">
        <v>43315</v>
      </c>
      <c r="B6" s="2">
        <v>0.28658564814814813</v>
      </c>
      <c r="E6" s="7">
        <v>0.62993055555555555</v>
      </c>
      <c r="F6" s="8">
        <f t="shared" si="0"/>
        <v>0.34375</v>
      </c>
      <c r="G6" s="83">
        <f t="shared" si="1"/>
        <v>8.25</v>
      </c>
      <c r="H6" t="s">
        <v>96</v>
      </c>
      <c r="I6" s="85" t="s">
        <v>37</v>
      </c>
    </row>
    <row r="7" spans="1:12" x14ac:dyDescent="0.25">
      <c r="A7" s="1">
        <v>43318</v>
      </c>
      <c r="B7" s="2">
        <v>0.29215277777777776</v>
      </c>
      <c r="E7" s="7">
        <v>0.62556712962962957</v>
      </c>
      <c r="F7" s="8">
        <f t="shared" si="0"/>
        <v>0.33333333333333331</v>
      </c>
      <c r="G7" s="83">
        <f t="shared" si="1"/>
        <v>8</v>
      </c>
      <c r="H7" t="s">
        <v>96</v>
      </c>
      <c r="I7" s="85" t="s">
        <v>90</v>
      </c>
    </row>
    <row r="8" spans="1:12" x14ac:dyDescent="0.25">
      <c r="A8" s="1">
        <v>43319</v>
      </c>
      <c r="B8" s="2">
        <v>0.29177083333333337</v>
      </c>
      <c r="E8" s="7">
        <v>0.62587962962962962</v>
      </c>
      <c r="F8" s="8">
        <f t="shared" si="0"/>
        <v>0.33333333333333331</v>
      </c>
      <c r="G8" s="83">
        <f t="shared" si="1"/>
        <v>8</v>
      </c>
      <c r="H8" t="s">
        <v>96</v>
      </c>
      <c r="I8" s="85" t="s">
        <v>90</v>
      </c>
    </row>
    <row r="9" spans="1:12" x14ac:dyDescent="0.25">
      <c r="A9" s="1">
        <v>43320</v>
      </c>
      <c r="B9" s="2">
        <v>0.2882986111111111</v>
      </c>
      <c r="E9" s="7">
        <v>0.62231481481481488</v>
      </c>
      <c r="F9" s="8">
        <f t="shared" si="0"/>
        <v>0.33333333333333331</v>
      </c>
      <c r="G9" s="83">
        <f t="shared" si="1"/>
        <v>8</v>
      </c>
      <c r="H9" t="s">
        <v>96</v>
      </c>
      <c r="I9" s="85" t="s">
        <v>90</v>
      </c>
    </row>
    <row r="10" spans="1:12" x14ac:dyDescent="0.25">
      <c r="A10" s="1">
        <v>43321</v>
      </c>
      <c r="B10" s="2">
        <v>0.29503472222222221</v>
      </c>
      <c r="E10" s="7">
        <v>0.63685185185185189</v>
      </c>
      <c r="F10" s="8">
        <f t="shared" si="0"/>
        <v>0.34375</v>
      </c>
      <c r="G10" s="83">
        <f t="shared" si="1"/>
        <v>8.25</v>
      </c>
      <c r="H10" t="s">
        <v>96</v>
      </c>
      <c r="I10" s="85" t="s">
        <v>90</v>
      </c>
    </row>
    <row r="11" spans="1:12" x14ac:dyDescent="0.25">
      <c r="A11" s="1">
        <v>43322</v>
      </c>
      <c r="B11" s="2">
        <v>0.28729166666666667</v>
      </c>
      <c r="E11" s="7">
        <v>0.60556712962962966</v>
      </c>
      <c r="F11" s="8">
        <f t="shared" si="0"/>
        <v>0.32291666666666663</v>
      </c>
      <c r="G11" s="83">
        <f t="shared" si="1"/>
        <v>7.7499999999999991</v>
      </c>
      <c r="H11" t="s">
        <v>96</v>
      </c>
      <c r="I11" s="85" t="s">
        <v>90</v>
      </c>
    </row>
    <row r="12" spans="1:12" x14ac:dyDescent="0.25">
      <c r="A12" s="1">
        <v>43325</v>
      </c>
      <c r="B12" s="2">
        <v>0.29114583333333333</v>
      </c>
      <c r="E12" s="7">
        <v>0.62859953703703708</v>
      </c>
      <c r="F12" s="8">
        <f t="shared" si="0"/>
        <v>0.33333333333333331</v>
      </c>
      <c r="G12" s="83">
        <f t="shared" si="1"/>
        <v>8</v>
      </c>
      <c r="H12" t="s">
        <v>96</v>
      </c>
      <c r="I12" s="85" t="s">
        <v>89</v>
      </c>
    </row>
    <row r="13" spans="1:12" x14ac:dyDescent="0.25">
      <c r="A13" s="1">
        <v>43326</v>
      </c>
      <c r="B13" s="2">
        <v>0.28315972222222224</v>
      </c>
      <c r="E13" s="7">
        <v>0.66456018518518511</v>
      </c>
      <c r="F13" s="8">
        <f t="shared" si="0"/>
        <v>0.38541666666666663</v>
      </c>
      <c r="G13" s="83">
        <f t="shared" si="1"/>
        <v>9.25</v>
      </c>
      <c r="H13" t="s">
        <v>96</v>
      </c>
      <c r="I13" s="85" t="s">
        <v>89</v>
      </c>
    </row>
    <row r="14" spans="1:12" x14ac:dyDescent="0.25">
      <c r="A14" s="1">
        <v>43327</v>
      </c>
      <c r="B14" s="2">
        <v>0.29208333333333331</v>
      </c>
      <c r="E14" s="7">
        <v>0.62512731481481476</v>
      </c>
      <c r="F14" s="8">
        <f t="shared" si="0"/>
        <v>0.33333333333333331</v>
      </c>
      <c r="G14" s="83">
        <f t="shared" si="1"/>
        <v>8</v>
      </c>
      <c r="H14" t="s">
        <v>96</v>
      </c>
      <c r="I14" s="85" t="s">
        <v>89</v>
      </c>
    </row>
    <row r="15" spans="1:12" x14ac:dyDescent="0.25">
      <c r="A15" s="84">
        <v>43328</v>
      </c>
      <c r="B15" s="4">
        <v>0.29224537037037041</v>
      </c>
      <c r="E15" s="7">
        <v>0.60092592592592597</v>
      </c>
      <c r="F15" s="8">
        <f t="shared" si="0"/>
        <v>0.3125</v>
      </c>
      <c r="G15" s="83">
        <f t="shared" si="1"/>
        <v>7.5</v>
      </c>
      <c r="H15" t="s">
        <v>96</v>
      </c>
      <c r="I15" s="85" t="s">
        <v>89</v>
      </c>
    </row>
    <row r="16" spans="1:12" x14ac:dyDescent="0.25">
      <c r="A16" s="1">
        <v>43329</v>
      </c>
      <c r="B16" s="2">
        <v>0.30192129629629633</v>
      </c>
      <c r="E16" s="7">
        <v>0.60339120370370369</v>
      </c>
      <c r="F16" s="8">
        <f t="shared" si="0"/>
        <v>0.30208333333333331</v>
      </c>
      <c r="G16" s="83">
        <f t="shared" si="1"/>
        <v>7.25</v>
      </c>
      <c r="H16" t="s">
        <v>96</v>
      </c>
      <c r="I16" s="85" t="s">
        <v>89</v>
      </c>
    </row>
    <row r="17" spans="1:9" x14ac:dyDescent="0.25">
      <c r="A17" s="1">
        <v>43332</v>
      </c>
      <c r="B17" s="2">
        <v>0.28129629629629632</v>
      </c>
      <c r="E17" s="7">
        <v>0.62549768518518511</v>
      </c>
      <c r="F17" s="8">
        <f t="shared" si="0"/>
        <v>0.34375</v>
      </c>
      <c r="G17" s="83">
        <f t="shared" si="1"/>
        <v>8.25</v>
      </c>
      <c r="H17" t="s">
        <v>96</v>
      </c>
      <c r="I17" s="85" t="s">
        <v>88</v>
      </c>
    </row>
    <row r="18" spans="1:9" x14ac:dyDescent="0.25">
      <c r="A18" s="1">
        <v>43333</v>
      </c>
      <c r="B18" s="2">
        <v>0.29503472222222221</v>
      </c>
      <c r="E18" s="7">
        <v>0.65675925925925926</v>
      </c>
      <c r="F18" s="8">
        <f t="shared" si="0"/>
        <v>0.36458333333333331</v>
      </c>
      <c r="G18" s="83">
        <f t="shared" si="1"/>
        <v>8.75</v>
      </c>
      <c r="H18" t="s">
        <v>96</v>
      </c>
      <c r="I18" s="85" t="s">
        <v>88</v>
      </c>
    </row>
    <row r="19" spans="1:9" x14ac:dyDescent="0.25">
      <c r="A19" s="1">
        <v>43335</v>
      </c>
      <c r="B19" s="2">
        <v>0.29420138888888886</v>
      </c>
      <c r="E19" s="7">
        <v>0.62561342592592595</v>
      </c>
      <c r="F19" s="8">
        <f t="shared" si="0"/>
        <v>0.33333333333333331</v>
      </c>
      <c r="G19" s="83">
        <f t="shared" si="1"/>
        <v>8</v>
      </c>
      <c r="H19" t="s">
        <v>96</v>
      </c>
      <c r="I19" s="85" t="s">
        <v>88</v>
      </c>
    </row>
    <row r="20" spans="1:9" x14ac:dyDescent="0.25">
      <c r="A20" s="1">
        <v>43335</v>
      </c>
      <c r="B20" s="2">
        <v>0.28950231481481481</v>
      </c>
      <c r="C20" s="2">
        <v>0.45925925925925926</v>
      </c>
      <c r="D20" s="7">
        <v>0.49712962962962964</v>
      </c>
      <c r="E20" s="7">
        <v>0.66443287037037035</v>
      </c>
      <c r="F20" s="8">
        <f t="shared" si="0"/>
        <v>0.33333333333333331</v>
      </c>
      <c r="G20" s="83">
        <f t="shared" si="1"/>
        <v>8</v>
      </c>
      <c r="H20" t="s">
        <v>96</v>
      </c>
      <c r="I20" s="85" t="s">
        <v>88</v>
      </c>
    </row>
    <row r="21" spans="1:9" x14ac:dyDescent="0.25">
      <c r="A21" s="1">
        <v>43335</v>
      </c>
      <c r="B21" s="2">
        <v>0.29420138888888886</v>
      </c>
      <c r="E21" s="7">
        <v>0.58394675925925921</v>
      </c>
      <c r="F21" s="8">
        <f t="shared" si="0"/>
        <v>0.29166666666666663</v>
      </c>
      <c r="G21" s="83">
        <f t="shared" si="1"/>
        <v>6.9999999999999991</v>
      </c>
      <c r="H21" t="s">
        <v>96</v>
      </c>
      <c r="I21" s="85" t="s">
        <v>88</v>
      </c>
    </row>
    <row r="22" spans="1:9" x14ac:dyDescent="0.25">
      <c r="A22" s="1">
        <v>43339</v>
      </c>
      <c r="B22" s="2">
        <v>0.28967592592592589</v>
      </c>
      <c r="E22" s="7">
        <v>0.62473379629629633</v>
      </c>
      <c r="F22" s="8">
        <f t="shared" si="0"/>
        <v>0.33333333333333331</v>
      </c>
      <c r="G22" s="83">
        <f t="shared" si="1"/>
        <v>8</v>
      </c>
      <c r="H22" t="s">
        <v>96</v>
      </c>
      <c r="I22" s="85" t="s">
        <v>87</v>
      </c>
    </row>
    <row r="23" spans="1:9" x14ac:dyDescent="0.25">
      <c r="A23" s="1">
        <v>43340</v>
      </c>
      <c r="B23" s="2">
        <v>0.28792824074074075</v>
      </c>
      <c r="E23" s="7">
        <v>0.62509259259259264</v>
      </c>
      <c r="F23" s="8">
        <f t="shared" si="0"/>
        <v>0.33333333333333331</v>
      </c>
      <c r="G23" s="83">
        <f t="shared" si="1"/>
        <v>8</v>
      </c>
      <c r="H23" t="s">
        <v>96</v>
      </c>
      <c r="I23" s="85" t="s">
        <v>87</v>
      </c>
    </row>
    <row r="24" spans="1:9" x14ac:dyDescent="0.25">
      <c r="A24" s="1">
        <v>43341</v>
      </c>
      <c r="B24" s="2">
        <v>0.29326388888888888</v>
      </c>
      <c r="E24" s="7">
        <v>0.62385416666666671</v>
      </c>
      <c r="F24" s="8">
        <f t="shared" si="0"/>
        <v>0.33333333333333331</v>
      </c>
      <c r="G24" s="83">
        <f t="shared" si="1"/>
        <v>8</v>
      </c>
      <c r="H24" t="s">
        <v>96</v>
      </c>
      <c r="I24" s="85" t="s">
        <v>87</v>
      </c>
    </row>
    <row r="25" spans="1:9" x14ac:dyDescent="0.25">
      <c r="A25" s="1">
        <v>43342</v>
      </c>
      <c r="B25" s="2">
        <v>0.29193287037037036</v>
      </c>
      <c r="E25" s="7">
        <v>0.62668981481481478</v>
      </c>
      <c r="F25" s="8">
        <f t="shared" si="0"/>
        <v>0.33333333333333331</v>
      </c>
      <c r="G25" s="83">
        <f t="shared" si="1"/>
        <v>8</v>
      </c>
      <c r="H25" t="s">
        <v>96</v>
      </c>
      <c r="I25" s="85" t="s">
        <v>87</v>
      </c>
    </row>
    <row r="26" spans="1:9" x14ac:dyDescent="0.25">
      <c r="A26" s="1">
        <v>43343</v>
      </c>
      <c r="B26" s="2">
        <v>0.28232638888888889</v>
      </c>
      <c r="E26" s="7">
        <v>0.6168055555555555</v>
      </c>
      <c r="F26" s="8">
        <f t="shared" si="0"/>
        <v>0.33333333333333331</v>
      </c>
      <c r="G26" s="83">
        <f t="shared" si="1"/>
        <v>8</v>
      </c>
      <c r="H26" t="s">
        <v>96</v>
      </c>
      <c r="I26" s="85" t="s">
        <v>87</v>
      </c>
    </row>
    <row r="27" spans="1:9" x14ac:dyDescent="0.25">
      <c r="A27" s="1">
        <v>43347</v>
      </c>
      <c r="B27" s="2">
        <v>0.29224537037037041</v>
      </c>
      <c r="E27" s="7">
        <v>0.62438657407407405</v>
      </c>
      <c r="F27" s="8">
        <f t="shared" si="0"/>
        <v>0.33333333333333331</v>
      </c>
      <c r="G27" s="83">
        <f t="shared" si="1"/>
        <v>8</v>
      </c>
      <c r="H27" t="s">
        <v>96</v>
      </c>
      <c r="I27" t="s">
        <v>86</v>
      </c>
    </row>
    <row r="28" spans="1:9" x14ac:dyDescent="0.25">
      <c r="A28" s="1">
        <v>43348</v>
      </c>
      <c r="B28" s="2">
        <v>0.29206018518518517</v>
      </c>
      <c r="E28" s="7">
        <v>0.62206018518518513</v>
      </c>
      <c r="F28" s="8">
        <f t="shared" si="0"/>
        <v>0.33333333333333331</v>
      </c>
      <c r="G28" s="83">
        <f t="shared" si="1"/>
        <v>8</v>
      </c>
      <c r="H28" t="s">
        <v>96</v>
      </c>
      <c r="I28" t="s">
        <v>86</v>
      </c>
    </row>
    <row r="29" spans="1:9" x14ac:dyDescent="0.25">
      <c r="A29" s="1">
        <v>43349</v>
      </c>
      <c r="B29" s="2">
        <v>0.29197916666666668</v>
      </c>
      <c r="E29" s="7">
        <v>0.62510416666666668</v>
      </c>
      <c r="F29" s="8">
        <f t="shared" si="0"/>
        <v>0.33333333333333331</v>
      </c>
      <c r="G29" s="83">
        <f t="shared" si="1"/>
        <v>8</v>
      </c>
      <c r="H29" t="s">
        <v>96</v>
      </c>
      <c r="I29" t="s">
        <v>86</v>
      </c>
    </row>
    <row r="30" spans="1:9" x14ac:dyDescent="0.25">
      <c r="A30" s="1">
        <v>43350</v>
      </c>
      <c r="B30" s="2">
        <v>0.28999999999999998</v>
      </c>
      <c r="E30" s="7">
        <v>0.61813657407407407</v>
      </c>
      <c r="F30" s="8">
        <f t="shared" si="0"/>
        <v>0.33333333333333331</v>
      </c>
      <c r="G30" s="83">
        <f t="shared" si="1"/>
        <v>8</v>
      </c>
      <c r="H30" t="s">
        <v>96</v>
      </c>
      <c r="I30" t="s">
        <v>86</v>
      </c>
    </row>
    <row r="31" spans="1:9" x14ac:dyDescent="0.25">
      <c r="A31" s="1">
        <v>43353</v>
      </c>
      <c r="B31" s="2">
        <v>0.28835648148148146</v>
      </c>
      <c r="E31" s="7">
        <v>0.62438657407407405</v>
      </c>
      <c r="F31" s="8">
        <f t="shared" si="0"/>
        <v>0.33333333333333331</v>
      </c>
      <c r="G31" s="83">
        <f t="shared" si="1"/>
        <v>8</v>
      </c>
      <c r="H31" t="s">
        <v>96</v>
      </c>
      <c r="I31" t="s">
        <v>85</v>
      </c>
    </row>
    <row r="32" spans="1:9" x14ac:dyDescent="0.25">
      <c r="A32" s="1">
        <v>43354</v>
      </c>
      <c r="B32" s="2">
        <v>0.29864583333333333</v>
      </c>
      <c r="E32" s="7">
        <v>0.63528935185185187</v>
      </c>
      <c r="F32" s="8">
        <f t="shared" si="0"/>
        <v>0.33333333333333331</v>
      </c>
      <c r="G32" s="83">
        <f t="shared" si="1"/>
        <v>8</v>
      </c>
      <c r="H32" t="s">
        <v>96</v>
      </c>
      <c r="I32" t="s">
        <v>85</v>
      </c>
    </row>
    <row r="33" spans="1:9" x14ac:dyDescent="0.25">
      <c r="A33" s="1">
        <v>43355</v>
      </c>
      <c r="B33" s="2">
        <v>0.29128472222222224</v>
      </c>
      <c r="E33" s="7">
        <v>0.62766203703703705</v>
      </c>
      <c r="F33" s="8">
        <f t="shared" si="0"/>
        <v>0.33333333333333331</v>
      </c>
      <c r="G33" s="83">
        <f t="shared" si="1"/>
        <v>8</v>
      </c>
      <c r="H33" t="s">
        <v>96</v>
      </c>
      <c r="I33" t="s">
        <v>85</v>
      </c>
    </row>
    <row r="34" spans="1:9" x14ac:dyDescent="0.25">
      <c r="A34" s="1">
        <v>43356</v>
      </c>
      <c r="B34" s="2">
        <v>0.28930555555555554</v>
      </c>
      <c r="E34" s="7">
        <v>0.62537037037037035</v>
      </c>
      <c r="F34" s="8">
        <f t="shared" si="0"/>
        <v>0.33333333333333331</v>
      </c>
      <c r="G34" s="83">
        <f t="shared" si="1"/>
        <v>8</v>
      </c>
      <c r="H34" t="s">
        <v>96</v>
      </c>
      <c r="I34" t="s">
        <v>85</v>
      </c>
    </row>
    <row r="35" spans="1:9" x14ac:dyDescent="0.25">
      <c r="A35" s="1">
        <v>43357</v>
      </c>
      <c r="B35" s="2">
        <v>0.28930555555555554</v>
      </c>
      <c r="E35" s="7">
        <v>0.62537037037037035</v>
      </c>
      <c r="F35" s="8">
        <f t="shared" si="0"/>
        <v>0.33333333333333331</v>
      </c>
      <c r="G35" s="83">
        <f t="shared" si="1"/>
        <v>8</v>
      </c>
      <c r="H35" t="s">
        <v>96</v>
      </c>
      <c r="I35" t="s">
        <v>85</v>
      </c>
    </row>
    <row r="36" spans="1:9" x14ac:dyDescent="0.25">
      <c r="A36" s="1">
        <v>43360</v>
      </c>
      <c r="B36" s="2">
        <v>0.29387731481481483</v>
      </c>
      <c r="C36" s="2">
        <v>0.45925925925925926</v>
      </c>
      <c r="D36" s="7">
        <v>0.46935185185185185</v>
      </c>
      <c r="E36" s="7">
        <v>0.63754629629629633</v>
      </c>
      <c r="F36" s="8">
        <f t="shared" si="0"/>
        <v>0.33333333333333331</v>
      </c>
      <c r="G36" s="83">
        <f t="shared" si="1"/>
        <v>8</v>
      </c>
      <c r="H36" t="s">
        <v>96</v>
      </c>
      <c r="I36" t="s">
        <v>84</v>
      </c>
    </row>
    <row r="37" spans="1:9" x14ac:dyDescent="0.25">
      <c r="A37" s="1">
        <v>43361</v>
      </c>
      <c r="B37" s="2">
        <v>0.29167824074074072</v>
      </c>
      <c r="E37" s="7">
        <v>0.62537037037037035</v>
      </c>
      <c r="F37" s="8">
        <f t="shared" si="0"/>
        <v>0.33333333333333331</v>
      </c>
      <c r="G37" s="83">
        <f t="shared" si="1"/>
        <v>8</v>
      </c>
      <c r="H37" t="s">
        <v>96</v>
      </c>
      <c r="I37" t="s">
        <v>84</v>
      </c>
    </row>
    <row r="38" spans="1:9" x14ac:dyDescent="0.25">
      <c r="A38" s="1">
        <v>43362</v>
      </c>
      <c r="B38" s="2">
        <v>0.29243055555555558</v>
      </c>
      <c r="E38" s="7">
        <v>0.62537037037037035</v>
      </c>
      <c r="F38" s="8">
        <f t="shared" si="0"/>
        <v>0.33333333333333331</v>
      </c>
      <c r="G38" s="83">
        <f t="shared" si="1"/>
        <v>8</v>
      </c>
      <c r="H38" t="s">
        <v>96</v>
      </c>
      <c r="I38" t="s">
        <v>84</v>
      </c>
    </row>
    <row r="39" spans="1:9" x14ac:dyDescent="0.25">
      <c r="A39" s="1">
        <v>43363</v>
      </c>
      <c r="B39" s="2">
        <v>0.29243055555555558</v>
      </c>
      <c r="E39" s="7">
        <v>0.62537037037037035</v>
      </c>
      <c r="F39" s="8">
        <f t="shared" si="0"/>
        <v>0.33333333333333331</v>
      </c>
      <c r="G39" s="83">
        <f t="shared" si="1"/>
        <v>8</v>
      </c>
      <c r="H39" t="s">
        <v>96</v>
      </c>
      <c r="I39" t="s">
        <v>84</v>
      </c>
    </row>
    <row r="40" spans="1:9" x14ac:dyDescent="0.25">
      <c r="A40" s="1">
        <v>43364</v>
      </c>
      <c r="B40" s="2">
        <v>0.29129629629629633</v>
      </c>
      <c r="E40" s="7">
        <v>0.62542824074074077</v>
      </c>
      <c r="F40" s="8">
        <f t="shared" si="0"/>
        <v>0.33333333333333331</v>
      </c>
      <c r="G40" s="83">
        <f t="shared" si="1"/>
        <v>8</v>
      </c>
      <c r="H40" t="s">
        <v>96</v>
      </c>
      <c r="I40" t="s">
        <v>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F43C5-2EC0-4512-A898-85CB43FB6B9C}">
  <sheetPr codeName="Sheet3">
    <pageSetUpPr fitToPage="1"/>
  </sheetPr>
  <dimension ref="A1:L34"/>
  <sheetViews>
    <sheetView showGridLines="0" zoomScaleNormal="100" workbookViewId="0"/>
  </sheetViews>
  <sheetFormatPr defaultColWidth="9.140625" defaultRowHeight="15" x14ac:dyDescent="0.25"/>
  <cols>
    <col min="1" max="1" width="2.85546875" style="9" customWidth="1"/>
    <col min="2" max="2" width="20" style="9" customWidth="1"/>
    <col min="3" max="3" width="25.7109375" style="9" customWidth="1"/>
    <col min="4" max="4" width="5.7109375" style="9" customWidth="1"/>
    <col min="5" max="5" width="13.28515625" style="9" customWidth="1"/>
    <col min="6" max="6" width="17.28515625" style="9" customWidth="1"/>
    <col min="7" max="7" width="15.7109375" style="9" customWidth="1"/>
    <col min="8" max="8" width="2.85546875" style="9" customWidth="1"/>
    <col min="9" max="9" width="4.28515625" style="9" customWidth="1"/>
    <col min="11" max="16384" width="9.140625" style="9"/>
  </cols>
  <sheetData>
    <row r="1" spans="1:12" ht="18" customHeight="1" x14ac:dyDescent="0.25">
      <c r="A1" s="78"/>
      <c r="B1" s="78"/>
      <c r="C1" s="78"/>
      <c r="D1" s="78"/>
      <c r="E1" s="78"/>
      <c r="F1" s="78"/>
      <c r="G1" s="78"/>
      <c r="H1" s="78"/>
    </row>
    <row r="2" spans="1:12" ht="37.5" customHeight="1" x14ac:dyDescent="0.5">
      <c r="A2" s="77"/>
      <c r="B2" s="76"/>
      <c r="C2" s="76"/>
      <c r="D2" s="76"/>
      <c r="E2" s="76"/>
      <c r="F2" s="74"/>
      <c r="G2" s="75" t="s">
        <v>39</v>
      </c>
      <c r="H2" s="74"/>
    </row>
    <row r="3" spans="1:12" ht="18" customHeight="1" x14ac:dyDescent="0.25">
      <c r="A3" s="73"/>
      <c r="B3" s="73"/>
      <c r="C3" s="73"/>
      <c r="D3" s="73"/>
      <c r="E3" s="73"/>
      <c r="F3" s="72"/>
      <c r="G3" s="72"/>
      <c r="H3" s="72"/>
    </row>
    <row r="4" spans="1:12" s="65" customFormat="1" ht="20.100000000000001" customHeight="1" x14ac:dyDescent="0.25">
      <c r="A4" s="67"/>
      <c r="B4" s="71" t="s">
        <v>38</v>
      </c>
      <c r="C4" s="64" t="s">
        <v>84</v>
      </c>
      <c r="D4" s="70"/>
      <c r="E4" s="70"/>
      <c r="F4" s="69" t="s">
        <v>36</v>
      </c>
      <c r="G4" s="68">
        <f ca="1">TODAY()</f>
        <v>43364</v>
      </c>
      <c r="H4" s="67"/>
      <c r="I4" s="66"/>
      <c r="J4"/>
    </row>
    <row r="5" spans="1:12" ht="20.100000000000001" customHeight="1" x14ac:dyDescent="0.25">
      <c r="A5" s="46"/>
      <c r="B5" s="62"/>
      <c r="C5" s="64"/>
      <c r="D5" s="63"/>
      <c r="E5" s="62"/>
      <c r="F5" s="46"/>
      <c r="G5" s="46"/>
      <c r="H5" s="46"/>
    </row>
    <row r="6" spans="1:12" ht="20.100000000000001" customHeight="1" x14ac:dyDescent="0.25">
      <c r="A6" s="46"/>
      <c r="B6" s="61" t="s">
        <v>35</v>
      </c>
      <c r="C6" s="60" t="s">
        <v>34</v>
      </c>
      <c r="D6" s="48"/>
      <c r="E6" s="52" t="s">
        <v>33</v>
      </c>
      <c r="F6" s="60" t="s">
        <v>32</v>
      </c>
      <c r="G6" s="55"/>
      <c r="H6" s="43"/>
      <c r="K6" s="42"/>
      <c r="L6" s="42"/>
    </row>
    <row r="7" spans="1:12" ht="20.100000000000001" customHeight="1" x14ac:dyDescent="0.25">
      <c r="A7" s="46"/>
      <c r="B7" s="59" t="s">
        <v>31</v>
      </c>
      <c r="C7" s="48" t="s">
        <v>30</v>
      </c>
      <c r="D7" s="48"/>
      <c r="E7" s="58" t="s">
        <v>29</v>
      </c>
      <c r="F7" s="48" t="s">
        <v>28</v>
      </c>
      <c r="G7" s="55"/>
      <c r="H7" s="43"/>
      <c r="I7" s="21"/>
      <c r="K7" s="57"/>
      <c r="L7" s="42"/>
    </row>
    <row r="8" spans="1:12" ht="20.100000000000001" customHeight="1" x14ac:dyDescent="0.25">
      <c r="A8" s="46"/>
      <c r="B8" s="50"/>
      <c r="C8" s="48" t="s">
        <v>27</v>
      </c>
      <c r="D8" s="48"/>
      <c r="E8" s="52"/>
      <c r="F8" s="48" t="s">
        <v>26</v>
      </c>
      <c r="G8" s="55"/>
      <c r="H8" s="43"/>
      <c r="K8" s="56"/>
      <c r="L8" s="42"/>
    </row>
    <row r="9" spans="1:12" ht="20.100000000000001" customHeight="1" x14ac:dyDescent="0.25">
      <c r="A9" s="46"/>
      <c r="B9" s="50"/>
      <c r="C9" s="48" t="s">
        <v>25</v>
      </c>
      <c r="D9" s="48"/>
      <c r="E9" s="52"/>
      <c r="F9" s="48" t="s">
        <v>24</v>
      </c>
      <c r="G9" s="55"/>
      <c r="H9" s="43"/>
      <c r="K9" s="54"/>
      <c r="L9" s="42"/>
    </row>
    <row r="10" spans="1:12" ht="20.100000000000001" customHeight="1" x14ac:dyDescent="0.25">
      <c r="A10" s="46"/>
      <c r="B10" s="50" t="s">
        <v>23</v>
      </c>
      <c r="C10" s="53" t="s">
        <v>22</v>
      </c>
      <c r="D10" s="48"/>
      <c r="E10" s="52"/>
      <c r="F10" s="51"/>
      <c r="G10" s="47"/>
      <c r="H10" s="43"/>
      <c r="K10" s="42"/>
      <c r="L10" s="42"/>
    </row>
    <row r="11" spans="1:12" ht="20.100000000000001" customHeight="1" x14ac:dyDescent="0.25">
      <c r="A11" s="46"/>
      <c r="B11" s="50"/>
      <c r="C11" s="48"/>
      <c r="D11" s="48"/>
      <c r="E11" s="49"/>
      <c r="F11" s="48"/>
      <c r="G11" s="47"/>
      <c r="H11" s="43"/>
      <c r="K11" s="42"/>
      <c r="L11" s="42"/>
    </row>
    <row r="12" spans="1:12" ht="20.100000000000001" customHeight="1" x14ac:dyDescent="0.25">
      <c r="A12" s="46"/>
      <c r="B12" s="44"/>
      <c r="C12" s="45"/>
      <c r="D12" s="45"/>
      <c r="E12" s="44"/>
      <c r="F12" s="43"/>
      <c r="G12" s="43"/>
      <c r="H12" s="43"/>
      <c r="K12" s="42"/>
      <c r="L12" s="42"/>
    </row>
    <row r="13" spans="1:12" ht="18.75" customHeight="1" x14ac:dyDescent="0.25">
      <c r="A13" s="41"/>
      <c r="B13" s="40" t="s">
        <v>21</v>
      </c>
      <c r="C13" s="39"/>
      <c r="D13" s="38"/>
      <c r="E13" s="37" t="s">
        <v>20</v>
      </c>
      <c r="F13" s="37" t="s">
        <v>19</v>
      </c>
      <c r="G13" s="36" t="s">
        <v>18</v>
      </c>
      <c r="H13" s="35"/>
    </row>
    <row r="14" spans="1:12" ht="24" customHeight="1" x14ac:dyDescent="0.25">
      <c r="A14" s="33"/>
      <c r="B14" s="32" t="s">
        <v>98</v>
      </c>
      <c r="C14" s="34"/>
      <c r="D14" s="32"/>
      <c r="E14" s="31">
        <v>40</v>
      </c>
      <c r="F14" s="30">
        <v>58</v>
      </c>
      <c r="G14" s="29">
        <f t="shared" ref="G14:G26" si="0">E14*F14</f>
        <v>2320</v>
      </c>
      <c r="H14" s="28"/>
    </row>
    <row r="15" spans="1:12" ht="24" customHeight="1" x14ac:dyDescent="0.25">
      <c r="A15" s="33"/>
      <c r="B15" s="32"/>
      <c r="C15" s="32"/>
      <c r="D15" s="32"/>
      <c r="E15" s="31"/>
      <c r="F15" s="30"/>
      <c r="G15" s="29">
        <f t="shared" si="0"/>
        <v>0</v>
      </c>
      <c r="H15" s="28"/>
    </row>
    <row r="16" spans="1:12" ht="24" customHeight="1" x14ac:dyDescent="0.25">
      <c r="A16" s="33"/>
      <c r="B16" s="32"/>
      <c r="C16" s="32"/>
      <c r="D16" s="32"/>
      <c r="E16" s="31"/>
      <c r="F16" s="30"/>
      <c r="G16" s="29">
        <f t="shared" si="0"/>
        <v>0</v>
      </c>
      <c r="H16" s="28"/>
    </row>
    <row r="17" spans="1:8" ht="24" customHeight="1" x14ac:dyDescent="0.25">
      <c r="A17" s="33"/>
      <c r="B17" s="32"/>
      <c r="C17" s="32"/>
      <c r="D17" s="32"/>
      <c r="E17" s="31"/>
      <c r="F17" s="30"/>
      <c r="G17" s="29">
        <f t="shared" si="0"/>
        <v>0</v>
      </c>
      <c r="H17" s="28"/>
    </row>
    <row r="18" spans="1:8" ht="24" customHeight="1" x14ac:dyDescent="0.25">
      <c r="A18" s="33"/>
      <c r="B18" s="32"/>
      <c r="C18" s="32"/>
      <c r="D18" s="32"/>
      <c r="E18" s="31"/>
      <c r="F18" s="30"/>
      <c r="G18" s="29">
        <f t="shared" si="0"/>
        <v>0</v>
      </c>
      <c r="H18" s="28"/>
    </row>
    <row r="19" spans="1:8" ht="24" customHeight="1" x14ac:dyDescent="0.25">
      <c r="A19" s="33"/>
      <c r="B19" s="32"/>
      <c r="C19" s="32"/>
      <c r="D19" s="32"/>
      <c r="E19" s="31"/>
      <c r="F19" s="30"/>
      <c r="G19" s="29">
        <f t="shared" si="0"/>
        <v>0</v>
      </c>
      <c r="H19" s="28"/>
    </row>
    <row r="20" spans="1:8" ht="24" customHeight="1" x14ac:dyDescent="0.25">
      <c r="A20" s="33"/>
      <c r="B20" s="32"/>
      <c r="C20" s="32"/>
      <c r="D20" s="32"/>
      <c r="E20" s="31"/>
      <c r="F20" s="30"/>
      <c r="G20" s="29">
        <f t="shared" si="0"/>
        <v>0</v>
      </c>
      <c r="H20" s="28"/>
    </row>
    <row r="21" spans="1:8" ht="24" customHeight="1" x14ac:dyDescent="0.25">
      <c r="A21" s="33"/>
      <c r="B21" s="32"/>
      <c r="C21" s="32"/>
      <c r="D21" s="32"/>
      <c r="E21" s="31"/>
      <c r="F21" s="30"/>
      <c r="G21" s="29">
        <f t="shared" si="0"/>
        <v>0</v>
      </c>
      <c r="H21" s="28"/>
    </row>
    <row r="22" spans="1:8" ht="24" customHeight="1" x14ac:dyDescent="0.25">
      <c r="A22" s="33"/>
      <c r="B22" s="32"/>
      <c r="C22" s="32"/>
      <c r="D22" s="32"/>
      <c r="E22" s="31"/>
      <c r="F22" s="30"/>
      <c r="G22" s="29">
        <f t="shared" si="0"/>
        <v>0</v>
      </c>
      <c r="H22" s="28"/>
    </row>
    <row r="23" spans="1:8" ht="24" customHeight="1" x14ac:dyDescent="0.25">
      <c r="A23" s="33"/>
      <c r="B23" s="32"/>
      <c r="C23" s="32"/>
      <c r="D23" s="32"/>
      <c r="E23" s="31"/>
      <c r="F23" s="30"/>
      <c r="G23" s="29">
        <f t="shared" si="0"/>
        <v>0</v>
      </c>
      <c r="H23" s="28"/>
    </row>
    <row r="24" spans="1:8" ht="24" customHeight="1" x14ac:dyDescent="0.25">
      <c r="A24" s="33"/>
      <c r="B24" s="32"/>
      <c r="C24" s="32"/>
      <c r="D24" s="32"/>
      <c r="E24" s="31"/>
      <c r="F24" s="30"/>
      <c r="G24" s="29">
        <f t="shared" si="0"/>
        <v>0</v>
      </c>
      <c r="H24" s="28"/>
    </row>
    <row r="25" spans="1:8" ht="24" customHeight="1" x14ac:dyDescent="0.25">
      <c r="A25" s="33"/>
      <c r="B25" s="32"/>
      <c r="C25" s="32"/>
      <c r="D25" s="32"/>
      <c r="E25" s="31"/>
      <c r="F25" s="30"/>
      <c r="G25" s="29">
        <f t="shared" si="0"/>
        <v>0</v>
      </c>
      <c r="H25" s="28"/>
    </row>
    <row r="26" spans="1:8" ht="24" customHeight="1" x14ac:dyDescent="0.25">
      <c r="A26" s="33"/>
      <c r="B26" s="32"/>
      <c r="C26" s="32"/>
      <c r="D26" s="32"/>
      <c r="E26" s="31"/>
      <c r="F26" s="30"/>
      <c r="G26" s="29">
        <f t="shared" si="0"/>
        <v>0</v>
      </c>
      <c r="H26" s="28"/>
    </row>
    <row r="27" spans="1:8" ht="19.5" customHeight="1" x14ac:dyDescent="0.25">
      <c r="A27" s="27"/>
      <c r="B27" s="27"/>
      <c r="C27" s="27"/>
      <c r="D27" s="27"/>
      <c r="E27" s="27"/>
      <c r="F27" s="26" t="s">
        <v>17</v>
      </c>
      <c r="G27" s="25">
        <f>SUM(G14:G26)</f>
        <v>2320</v>
      </c>
      <c r="H27" s="24"/>
    </row>
    <row r="28" spans="1:8" ht="19.5" customHeight="1" x14ac:dyDescent="0.25">
      <c r="A28" s="21"/>
      <c r="B28" s="23" t="s">
        <v>16</v>
      </c>
      <c r="C28" s="18"/>
      <c r="D28" s="18"/>
      <c r="E28" s="21"/>
      <c r="F28" s="20" t="s">
        <v>15</v>
      </c>
      <c r="G28" s="22">
        <v>0</v>
      </c>
      <c r="H28" s="13"/>
    </row>
    <row r="29" spans="1:8" ht="19.5" customHeight="1" x14ac:dyDescent="0.25">
      <c r="A29" s="21"/>
      <c r="B29" s="12" t="s">
        <v>14</v>
      </c>
      <c r="C29" s="12"/>
      <c r="D29" s="12"/>
      <c r="E29" s="21"/>
      <c r="F29" s="20" t="s">
        <v>13</v>
      </c>
      <c r="G29" s="19">
        <f>G28*G27</f>
        <v>0</v>
      </c>
      <c r="H29" s="13"/>
    </row>
    <row r="30" spans="1:8" ht="19.5" customHeight="1" thickBot="1" x14ac:dyDescent="0.3">
      <c r="A30" s="13"/>
      <c r="B30" s="12" t="s">
        <v>12</v>
      </c>
      <c r="C30" s="12"/>
      <c r="D30" s="12"/>
      <c r="E30" s="18"/>
      <c r="F30" s="20" t="s">
        <v>11</v>
      </c>
      <c r="G30" s="19"/>
      <c r="H30" s="13"/>
    </row>
    <row r="31" spans="1:8" ht="19.5" customHeight="1" thickTop="1" x14ac:dyDescent="0.25">
      <c r="A31" s="13"/>
      <c r="B31" s="12"/>
      <c r="C31" s="12"/>
      <c r="D31" s="12"/>
      <c r="E31" s="18"/>
      <c r="F31" s="17" t="s">
        <v>10</v>
      </c>
      <c r="G31" s="16">
        <f>G27+G29+G30</f>
        <v>2320</v>
      </c>
      <c r="H31" s="15"/>
    </row>
    <row r="32" spans="1:8" x14ac:dyDescent="0.25">
      <c r="A32" s="13"/>
      <c r="B32" s="14" t="s">
        <v>9</v>
      </c>
      <c r="E32" s="12"/>
    </row>
    <row r="33" spans="1:10" s="10" customFormat="1" x14ac:dyDescent="0.25">
      <c r="A33" s="13"/>
      <c r="B33" s="12"/>
      <c r="C33" s="12"/>
      <c r="D33" s="12"/>
      <c r="E33" s="12"/>
      <c r="F33" s="91"/>
      <c r="G33" s="91"/>
      <c r="H33" s="91"/>
      <c r="J33"/>
    </row>
    <row r="34" spans="1:10" s="10" customFormat="1" x14ac:dyDescent="0.25">
      <c r="A34" s="11"/>
      <c r="C34" s="11"/>
      <c r="D34" s="11"/>
      <c r="E34" s="11"/>
      <c r="F34" s="90"/>
      <c r="G34" s="90"/>
      <c r="H34" s="90"/>
      <c r="J34"/>
    </row>
  </sheetData>
  <mergeCells count="2">
    <mergeCell ref="F34:H34"/>
    <mergeCell ref="F33:H33"/>
  </mergeCells>
  <hyperlinks>
    <hyperlink ref="C10" r:id="rId1" xr:uid="{DAC4597F-2965-4B46-ADEB-E7C1C63CB8E7}"/>
  </hyperlinks>
  <printOptions horizontalCentered="1"/>
  <pageMargins left="0.25" right="0.25" top="0.35" bottom="0.35" header="0.25" footer="0.25"/>
  <pageSetup scale="98" fitToHeight="0" orientation="portrait" r:id="rId2"/>
  <headerFooter alignWithMargins="0">
    <oddFooter>&amp;L&amp;"Trebuchet MS,Bold" Confidential&amp;C Confidential&amp;R 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2C8B4-D83B-41BB-BB8A-58B63DF942AE}">
  <sheetPr codeName="Sheet4"/>
  <dimension ref="A1:D50"/>
  <sheetViews>
    <sheetView workbookViewId="0"/>
  </sheetViews>
  <sheetFormatPr defaultColWidth="8.85546875" defaultRowHeight="15" x14ac:dyDescent="0.3"/>
  <cols>
    <col min="1" max="1" width="14.28515625" style="79" bestFit="1" customWidth="1"/>
    <col min="2" max="2" width="16.28515625" style="79" bestFit="1" customWidth="1"/>
    <col min="3" max="3" width="17.28515625" style="81" customWidth="1"/>
    <col min="4" max="4" width="11.42578125" style="79" bestFit="1" customWidth="1"/>
    <col min="5" max="16384" width="8.85546875" style="79"/>
  </cols>
  <sheetData>
    <row r="1" spans="1:4" x14ac:dyDescent="0.3">
      <c r="A1" s="79" t="s">
        <v>92</v>
      </c>
      <c r="B1" s="79" t="s">
        <v>91</v>
      </c>
    </row>
    <row r="2" spans="1:4" x14ac:dyDescent="0.3">
      <c r="A2" s="80" t="s">
        <v>83</v>
      </c>
      <c r="B2" s="82">
        <f ca="1">TODAY() - WEEKDAY(NOW(),3)+ 5</f>
        <v>43365</v>
      </c>
      <c r="D2" s="81"/>
    </row>
    <row r="3" spans="1:4" x14ac:dyDescent="0.3">
      <c r="A3" s="80" t="s">
        <v>82</v>
      </c>
      <c r="B3" s="81"/>
    </row>
    <row r="4" spans="1:4" x14ac:dyDescent="0.3">
      <c r="A4" s="80" t="s">
        <v>81</v>
      </c>
      <c r="B4" s="81"/>
    </row>
    <row r="5" spans="1:4" x14ac:dyDescent="0.3">
      <c r="A5" s="80" t="s">
        <v>80</v>
      </c>
      <c r="B5" s="81"/>
    </row>
    <row r="6" spans="1:4" x14ac:dyDescent="0.3">
      <c r="A6" s="80" t="s">
        <v>79</v>
      </c>
      <c r="B6" s="81"/>
    </row>
    <row r="7" spans="1:4" x14ac:dyDescent="0.3">
      <c r="A7" s="80" t="s">
        <v>78</v>
      </c>
      <c r="B7" s="81"/>
    </row>
    <row r="8" spans="1:4" x14ac:dyDescent="0.3">
      <c r="A8" s="80" t="s">
        <v>77</v>
      </c>
      <c r="B8" s="81"/>
    </row>
    <row r="9" spans="1:4" x14ac:dyDescent="0.3">
      <c r="A9" s="80" t="s">
        <v>76</v>
      </c>
      <c r="B9" s="81"/>
    </row>
    <row r="10" spans="1:4" x14ac:dyDescent="0.3">
      <c r="A10" s="80" t="s">
        <v>75</v>
      </c>
      <c r="B10" s="81"/>
    </row>
    <row r="11" spans="1:4" x14ac:dyDescent="0.3">
      <c r="A11" s="80" t="s">
        <v>74</v>
      </c>
      <c r="B11" s="81"/>
    </row>
    <row r="12" spans="1:4" x14ac:dyDescent="0.3">
      <c r="A12" s="80" t="s">
        <v>73</v>
      </c>
      <c r="B12" s="81"/>
    </row>
    <row r="13" spans="1:4" x14ac:dyDescent="0.3">
      <c r="A13" s="80" t="s">
        <v>72</v>
      </c>
      <c r="B13" s="81"/>
    </row>
    <row r="14" spans="1:4" x14ac:dyDescent="0.3">
      <c r="A14" s="80" t="s">
        <v>71</v>
      </c>
      <c r="B14" s="81"/>
    </row>
    <row r="15" spans="1:4" x14ac:dyDescent="0.3">
      <c r="A15" s="80" t="s">
        <v>70</v>
      </c>
      <c r="B15" s="81"/>
    </row>
    <row r="16" spans="1:4" x14ac:dyDescent="0.3">
      <c r="A16" s="80" t="s">
        <v>69</v>
      </c>
      <c r="B16" s="81"/>
    </row>
    <row r="17" spans="1:2" x14ac:dyDescent="0.3">
      <c r="A17" s="80" t="s">
        <v>68</v>
      </c>
      <c r="B17" s="81"/>
    </row>
    <row r="18" spans="1:2" x14ac:dyDescent="0.3">
      <c r="A18" s="80" t="s">
        <v>67</v>
      </c>
      <c r="B18" s="81"/>
    </row>
    <row r="19" spans="1:2" x14ac:dyDescent="0.3">
      <c r="A19" s="80" t="s">
        <v>66</v>
      </c>
      <c r="B19" s="81"/>
    </row>
    <row r="20" spans="1:2" x14ac:dyDescent="0.3">
      <c r="A20" s="80" t="s">
        <v>65</v>
      </c>
      <c r="B20" s="81"/>
    </row>
    <row r="21" spans="1:2" x14ac:dyDescent="0.3">
      <c r="A21" s="80" t="s">
        <v>64</v>
      </c>
      <c r="B21" s="81"/>
    </row>
    <row r="22" spans="1:2" x14ac:dyDescent="0.3">
      <c r="A22" s="80" t="s">
        <v>63</v>
      </c>
      <c r="B22" s="81"/>
    </row>
    <row r="23" spans="1:2" x14ac:dyDescent="0.3">
      <c r="A23" s="80" t="s">
        <v>62</v>
      </c>
      <c r="B23" s="81"/>
    </row>
    <row r="24" spans="1:2" x14ac:dyDescent="0.3">
      <c r="A24" s="80" t="s">
        <v>61</v>
      </c>
      <c r="B24" s="81"/>
    </row>
    <row r="25" spans="1:2" x14ac:dyDescent="0.3">
      <c r="A25" s="80" t="s">
        <v>60</v>
      </c>
      <c r="B25" s="81"/>
    </row>
    <row r="26" spans="1:2" x14ac:dyDescent="0.3">
      <c r="A26" s="80" t="s">
        <v>59</v>
      </c>
      <c r="B26" s="81"/>
    </row>
    <row r="27" spans="1:2" x14ac:dyDescent="0.3">
      <c r="A27" s="80" t="s">
        <v>58</v>
      </c>
      <c r="B27" s="81"/>
    </row>
    <row r="28" spans="1:2" x14ac:dyDescent="0.3">
      <c r="A28" s="80" t="s">
        <v>57</v>
      </c>
      <c r="B28" s="81"/>
    </row>
    <row r="29" spans="1:2" x14ac:dyDescent="0.3">
      <c r="A29" s="80" t="s">
        <v>56</v>
      </c>
      <c r="B29" s="81"/>
    </row>
    <row r="30" spans="1:2" x14ac:dyDescent="0.3">
      <c r="A30" s="80" t="s">
        <v>55</v>
      </c>
      <c r="B30" s="81"/>
    </row>
    <row r="31" spans="1:2" x14ac:dyDescent="0.3">
      <c r="A31" s="80" t="s">
        <v>54</v>
      </c>
      <c r="B31" s="81"/>
    </row>
    <row r="32" spans="1:2" x14ac:dyDescent="0.3">
      <c r="A32" s="80" t="s">
        <v>53</v>
      </c>
      <c r="B32" s="81"/>
    </row>
    <row r="33" spans="1:2" x14ac:dyDescent="0.3">
      <c r="A33" s="80" t="s">
        <v>52</v>
      </c>
      <c r="B33" s="81"/>
    </row>
    <row r="34" spans="1:2" x14ac:dyDescent="0.3">
      <c r="A34" s="80" t="s">
        <v>51</v>
      </c>
      <c r="B34" s="81"/>
    </row>
    <row r="35" spans="1:2" x14ac:dyDescent="0.3">
      <c r="A35" s="80" t="s">
        <v>50</v>
      </c>
      <c r="B35" s="81"/>
    </row>
    <row r="36" spans="1:2" x14ac:dyDescent="0.3">
      <c r="A36" s="80" t="s">
        <v>49</v>
      </c>
      <c r="B36" s="81"/>
    </row>
    <row r="37" spans="1:2" x14ac:dyDescent="0.3">
      <c r="A37" s="80" t="s">
        <v>48</v>
      </c>
      <c r="B37" s="81"/>
    </row>
    <row r="38" spans="1:2" x14ac:dyDescent="0.3">
      <c r="A38" s="80" t="s">
        <v>47</v>
      </c>
      <c r="B38" s="81"/>
    </row>
    <row r="39" spans="1:2" x14ac:dyDescent="0.3">
      <c r="A39" s="80" t="s">
        <v>46</v>
      </c>
      <c r="B39" s="81"/>
    </row>
    <row r="40" spans="1:2" x14ac:dyDescent="0.3">
      <c r="A40" s="80" t="s">
        <v>45</v>
      </c>
      <c r="B40" s="81"/>
    </row>
    <row r="41" spans="1:2" x14ac:dyDescent="0.3">
      <c r="A41" s="80" t="s">
        <v>44</v>
      </c>
      <c r="B41" s="81"/>
    </row>
    <row r="42" spans="1:2" x14ac:dyDescent="0.3">
      <c r="A42" s="80" t="s">
        <v>43</v>
      </c>
      <c r="B42" s="81"/>
    </row>
    <row r="43" spans="1:2" x14ac:dyDescent="0.3">
      <c r="A43" s="80" t="s">
        <v>42</v>
      </c>
      <c r="B43" s="81"/>
    </row>
    <row r="44" spans="1:2" x14ac:dyDescent="0.3">
      <c r="A44" s="80" t="s">
        <v>41</v>
      </c>
      <c r="B44" s="81"/>
    </row>
    <row r="45" spans="1:2" x14ac:dyDescent="0.3">
      <c r="A45" s="80" t="s">
        <v>40</v>
      </c>
      <c r="B45" s="81"/>
    </row>
    <row r="46" spans="1:2" x14ac:dyDescent="0.3">
      <c r="B46" s="81"/>
    </row>
    <row r="47" spans="1:2" x14ac:dyDescent="0.3">
      <c r="B47" s="81"/>
    </row>
    <row r="48" spans="1:2" x14ac:dyDescent="0.3">
      <c r="B48" s="81"/>
    </row>
    <row r="49" spans="2:2" x14ac:dyDescent="0.3">
      <c r="B49" s="81"/>
    </row>
    <row r="50" spans="2:2" x14ac:dyDescent="0.3">
      <c r="B50" s="8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DF7D99C5B10945BE5F8D5A76D7BAAA" ma:contentTypeVersion="7" ma:contentTypeDescription="Create a new document." ma:contentTypeScope="" ma:versionID="060c4bed03dead72a967dfe40ff9a846">
  <xsd:schema xmlns:xsd="http://www.w3.org/2001/XMLSchema" xmlns:xs="http://www.w3.org/2001/XMLSchema" xmlns:p="http://schemas.microsoft.com/office/2006/metadata/properties" xmlns:ns2="721eeabf-0a4e-48c0-a442-4ab52e738567" targetNamespace="http://schemas.microsoft.com/office/2006/metadata/properties" ma:root="true" ma:fieldsID="110837132a0c36d35c2b8bed8560d1dc" ns2:_="">
    <xsd:import namespace="721eeabf-0a4e-48c0-a442-4ab52e7385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1eeabf-0a4e-48c0-a442-4ab52e738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A406C4-BA96-49E1-97CC-87ED3252F385}"/>
</file>

<file path=customXml/itemProps2.xml><?xml version="1.0" encoding="utf-8"?>
<ds:datastoreItem xmlns:ds="http://schemas.openxmlformats.org/officeDocument/2006/customXml" ds:itemID="{90198592-7BC5-4A47-A963-3A33CB22051A}"/>
</file>

<file path=customXml/itemProps3.xml><?xml version="1.0" encoding="utf-8"?>
<ds:datastoreItem xmlns:ds="http://schemas.openxmlformats.org/officeDocument/2006/customXml" ds:itemID="{E988D526-211A-4FC1-96E1-965FB8F4E9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Punches</vt:lpstr>
      <vt:lpstr>TimeSheet</vt:lpstr>
      <vt:lpstr>Invoice</vt:lpstr>
      <vt:lpstr>Week Ending Dates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Foster</dc:creator>
  <cp:lastModifiedBy>Foster</cp:lastModifiedBy>
  <cp:lastPrinted>2018-09-21T19:08:03Z</cp:lastPrinted>
  <dcterms:created xsi:type="dcterms:W3CDTF">2018-07-30T18:08:44Z</dcterms:created>
  <dcterms:modified xsi:type="dcterms:W3CDTF">2018-09-21T19:08:55Z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0x0101009DDF7D99C5B10945BE5F8D5A76D7BAAA</vt:lpwstr>
  </property>
</Properties>
</file>