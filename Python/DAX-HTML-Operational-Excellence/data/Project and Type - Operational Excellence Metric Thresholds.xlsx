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apmus.sharepoint.com/sites/DataandInsights/Shared Documents/Power BI Source Files/Balanced Scorecard/"/>
    </mc:Choice>
  </mc:AlternateContent>
  <xr:revisionPtr revIDLastSave="870" documentId="8_{1C644E2B-9BC6-49D0-AD6A-B3DF0EBE0D9F}" xr6:coauthVersionLast="47" xr6:coauthVersionMax="47" xr10:uidLastSave="{A927BC1F-6040-41E0-94C0-76075AE08D92}"/>
  <bookViews>
    <workbookView xWindow="15420" yWindow="300" windowWidth="28275" windowHeight="14985" firstSheet="1" xr2:uid="{6BCC0EB8-A453-4A20-9B19-4ACE39BA0411}"/>
  </bookViews>
  <sheets>
    <sheet name="Measures" sheetId="1" r:id="rId1"/>
    <sheet name="Project Configur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  <c r="C27" i="1"/>
  <c r="C26" i="1"/>
  <c r="C25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0" i="1"/>
  <c r="C21" i="1"/>
  <c r="C22" i="1"/>
  <c r="C23" i="1"/>
  <c r="C2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</calcChain>
</file>

<file path=xl/sharedStrings.xml><?xml version="1.0" encoding="utf-8"?>
<sst xmlns="http://schemas.openxmlformats.org/spreadsheetml/2006/main" count="758" uniqueCount="172">
  <si>
    <t>ProjectName</t>
  </si>
  <si>
    <t>ProjectType</t>
  </si>
  <si>
    <t>SortOrder</t>
  </si>
  <si>
    <t>MetricName</t>
  </si>
  <si>
    <t>MetricKey</t>
  </si>
  <si>
    <t>FormatString</t>
  </si>
  <si>
    <t>ThresholdFlag</t>
  </si>
  <si>
    <t>RedOperator</t>
  </si>
  <si>
    <t>RedThreshold</t>
  </si>
  <si>
    <t>AmberOperator</t>
  </si>
  <si>
    <t>AmberThreshold</t>
  </si>
  <si>
    <t>YTDFlag</t>
  </si>
  <si>
    <t>YoYFlag</t>
  </si>
  <si>
    <t>YTDTargetFlag</t>
  </si>
  <si>
    <t>MonthTargetFlag</t>
  </si>
  <si>
    <t>MonthTargetDisplayFlag</t>
  </si>
  <si>
    <t>BenchmarkName</t>
  </si>
  <si>
    <t>Measure</t>
  </si>
  <si>
    <t>Target</t>
  </si>
  <si>
    <t>NV LAS VEGAS ONE STOP SERVICES</t>
  </si>
  <si>
    <t>WIOA</t>
  </si>
  <si>
    <t>Adult/DW New Enrollments (% of Target)</t>
  </si>
  <si>
    <t>_nvadultEnrollments</t>
  </si>
  <si>
    <t>#,##0</t>
  </si>
  <si>
    <t>Yes</t>
  </si>
  <si>
    <t>&lt;</t>
  </si>
  <si>
    <t>No</t>
  </si>
  <si>
    <t>[Adult_DW New Enrollments]</t>
  </si>
  <si>
    <t>[Adult_DW New Enrollments Target]</t>
  </si>
  <si>
    <t>Youth New Enrollments (% of Target)</t>
  </si>
  <si>
    <t>_nvyouthEnrollments</t>
  </si>
  <si>
    <t>[Youth New Enrollments]</t>
  </si>
  <si>
    <t>[Youth New Enrollments Target]</t>
  </si>
  <si>
    <t>Adult/DW High Impact Activity Starts (% of Target)</t>
  </si>
  <si>
    <t>_nvadultActivity</t>
  </si>
  <si>
    <t>[Adult_DW High Impact Starts]</t>
  </si>
  <si>
    <t>[Adult_DW High Impact Starts Target]</t>
  </si>
  <si>
    <t>Youth High Impact Activity Starts (% of Target)</t>
  </si>
  <si>
    <t>_nvyouthActivity</t>
  </si>
  <si>
    <t>[Youth High Impact Starts]</t>
  </si>
  <si>
    <t>[Youth High Impact Starts Target]</t>
  </si>
  <si>
    <t>Adult MSG (% of Target)</t>
  </si>
  <si>
    <t>_nvadultMSG</t>
  </si>
  <si>
    <t>#,##0%</t>
  </si>
  <si>
    <t>[Adult MSG]</t>
  </si>
  <si>
    <t>[Adult MSG Target]</t>
  </si>
  <si>
    <t>DW MSG (% of Target)</t>
  </si>
  <si>
    <t>_nvdwMSG</t>
  </si>
  <si>
    <t>[DW MSG]</t>
  </si>
  <si>
    <t>[DW MSG Target]</t>
  </si>
  <si>
    <t>Youth MSG (% of Target)</t>
  </si>
  <si>
    <t>_nvyouthMSG</t>
  </si>
  <si>
    <t>[Youth MSG]</t>
  </si>
  <si>
    <t>[Youth MSG Target]</t>
  </si>
  <si>
    <t>Adult / DW Employments @ Closure (% Positive)</t>
  </si>
  <si>
    <t>_nvadultDWEmployment</t>
  </si>
  <si>
    <t>Youth Placements @ Closure (% Positive)</t>
  </si>
  <si>
    <t>_nvyouthPlacement</t>
  </si>
  <si>
    <t>Q2 Adult % Employment (% of Target)</t>
  </si>
  <si>
    <t>_nvadultQ2</t>
  </si>
  <si>
    <t>[Q2 Adult Employment]</t>
  </si>
  <si>
    <t>[Q2 Adult Employment Target]</t>
  </si>
  <si>
    <t>Q2 DW % Employment (% of Target)</t>
  </si>
  <si>
    <t>_nvdwQ2</t>
  </si>
  <si>
    <t>[Q2 DW Employment]</t>
  </si>
  <si>
    <t>[Q2 DW Employment Target]</t>
  </si>
  <si>
    <t>Q2 Youth % Placements (% of Target)</t>
  </si>
  <si>
    <t>_nvyouthQ2</t>
  </si>
  <si>
    <t>[Q2 Youth Employment]</t>
  </si>
  <si>
    <t>[Q2 Youth Employment Target]</t>
  </si>
  <si>
    <t>All</t>
  </si>
  <si>
    <t>WeCare</t>
  </si>
  <si>
    <t>Clinical Assessment Completions</t>
  </si>
  <si>
    <t>_dCompletions</t>
  </si>
  <si>
    <t>[Clinical Assessment Completions]</t>
  </si>
  <si>
    <t>SSI/SSDI Applications Submitted</t>
  </si>
  <si>
    <t>_dSubmitted</t>
  </si>
  <si>
    <t>[Scorecard Total SSI Initial and Supplemental Applications]</t>
  </si>
  <si>
    <t>VRS Initiations</t>
  </si>
  <si>
    <t>_dVar</t>
  </si>
  <si>
    <t>[Scorecard Total VRS Initiation Appointments]</t>
  </si>
  <si>
    <t>Day 1 Placements (% Target)</t>
  </si>
  <si>
    <t>_dPlacements</t>
  </si>
  <si>
    <t>&lt;=</t>
  </si>
  <si>
    <t>[Day 1 Placements]</t>
  </si>
  <si>
    <t>[Day 1 Placements Target]</t>
  </si>
  <si>
    <t>30-Day Employment Retention (% Target)</t>
  </si>
  <si>
    <t>_dEmployment</t>
  </si>
  <si>
    <t>[30-Day Employment Retention]</t>
  </si>
  <si>
    <t>90-Day Employment Retention (% Target)</t>
  </si>
  <si>
    <t>_dRetention</t>
  </si>
  <si>
    <t>[90-Day Employment Retention Target]</t>
  </si>
  <si>
    <t>ARG</t>
  </si>
  <si>
    <t>CO Determinations (% Target)</t>
  </si>
  <si>
    <t>_dCOdeterminations</t>
  </si>
  <si>
    <t>[Determinations]</t>
  </si>
  <si>
    <t>[Determinations Target]</t>
  </si>
  <si>
    <t>CO TAT (Application Review)</t>
  </si>
  <si>
    <t>_dCOtatApplicationReview</t>
  </si>
  <si>
    <t>[CO Avg Processing Time]</t>
  </si>
  <si>
    <t>[CO Avg Processing Time Target]</t>
  </si>
  <si>
    <t>CO Avg Days Ahead of Target</t>
  </si>
  <si>
    <t>_dCOavgDaysAheadOfTarget</t>
  </si>
  <si>
    <t>PA TAT (Application Review)</t>
  </si>
  <si>
    <t>_dPAtatApplicationReview</t>
  </si>
  <si>
    <t>[PA Avg Processing Time]</t>
  </si>
  <si>
    <t>[PA Avg Processing Time Target]</t>
  </si>
  <si>
    <t>PA Avg Days Ahead of Target</t>
  </si>
  <si>
    <t>_dPAavgDaysAheadOfTarget</t>
  </si>
  <si>
    <t>Individuals Served During Month</t>
  </si>
  <si>
    <t>_dServed</t>
  </si>
  <si>
    <t>[Actuals]</t>
  </si>
  <si>
    <t>[Target]</t>
  </si>
  <si>
    <t>Participants Served During Month (Job Seekers)</t>
  </si>
  <si>
    <t>_dSeekers</t>
  </si>
  <si>
    <t>New Enrollments</t>
  </si>
  <si>
    <t>_dEnrollments</t>
  </si>
  <si>
    <t>Closures</t>
  </si>
  <si>
    <t>_dClosures</t>
  </si>
  <si>
    <t>Apprenticeship Starts</t>
  </si>
  <si>
    <t>_dAppStart</t>
  </si>
  <si>
    <t>OJT Starts</t>
  </si>
  <si>
    <t>_dOjtStart</t>
  </si>
  <si>
    <t>Training Starts</t>
  </si>
  <si>
    <t>_dTrainStart</t>
  </si>
  <si>
    <t>WEX Starts</t>
  </si>
  <si>
    <t>_dWexStart</t>
  </si>
  <si>
    <t>TANF</t>
  </si>
  <si>
    <t>Referrals Generated</t>
  </si>
  <si>
    <t>_dReferrals</t>
  </si>
  <si>
    <t>Placeholder</t>
  </si>
  <si>
    <t>Participants Served</t>
  </si>
  <si>
    <t>_dParticipants</t>
  </si>
  <si>
    <t>Program Exits</t>
  </si>
  <si>
    <t>_dExits</t>
  </si>
  <si>
    <t>Employment Rate (Qtr of exit)</t>
  </si>
  <si>
    <t>_dEmpQtrofExit</t>
  </si>
  <si>
    <t>Employment Rate (1Q post-exit)</t>
  </si>
  <si>
    <t>_dEmp1Q</t>
  </si>
  <si>
    <t>Employment Rate (2Q post-exit)</t>
  </si>
  <si>
    <t>_dEmp2Q</t>
  </si>
  <si>
    <t>Median Earnings (2Q post-exit)</t>
  </si>
  <si>
    <t>_dEarn2Q</t>
  </si>
  <si>
    <t>Median Earnings (4Q post-exit)</t>
  </si>
  <si>
    <t>_dEarn4Q</t>
  </si>
  <si>
    <t>Level of Independence (4Q post-exit)</t>
  </si>
  <si>
    <t>_dIndependence</t>
  </si>
  <si>
    <t>JobCorps</t>
  </si>
  <si>
    <t>Average APM Rank</t>
  </si>
  <si>
    <t>_dRank</t>
  </si>
  <si>
    <t>Average APM Rating</t>
  </si>
  <si>
    <t>_dRating</t>
  </si>
  <si>
    <t>#,##0.00</t>
  </si>
  <si>
    <t>OBS</t>
  </si>
  <si>
    <t>_dObs</t>
  </si>
  <si>
    <t>Ordinary Separation %</t>
  </si>
  <si>
    <t>_dSeperation</t>
  </si>
  <si>
    <t>90-Day Retention</t>
  </si>
  <si>
    <t>WorkCare</t>
  </si>
  <si>
    <t>Client Revenue Attrition (&lt;3%)</t>
  </si>
  <si>
    <t>_dClient</t>
  </si>
  <si>
    <t>Occ Health Encounter Volume to Target</t>
  </si>
  <si>
    <t>_dEncounter</t>
  </si>
  <si>
    <t>Call Answer SLA to Target</t>
  </si>
  <si>
    <t>_dCallSLA</t>
  </si>
  <si>
    <t>Occ Health Turnaround Time (&lt;9 days)</t>
  </si>
  <si>
    <t>_dTurnaround</t>
  </si>
  <si>
    <t>#,##0.0</t>
  </si>
  <si>
    <t>Self-Care Rates to Target</t>
  </si>
  <si>
    <t>_dRetention_selfcare</t>
  </si>
  <si>
    <t>SupportsYoY</t>
  </si>
  <si>
    <t>IncludeCommentPanel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</si>
</sst>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rgb="FF68349C"/>
      <name val="Consolas"/>
      <charset val="1"/>
    </font>
    <font>
      <sz val="9"/>
      <color rgb="FFA31515"/>
      <name val="Consolas"/>
      <charset val="1"/>
    </font>
    <font>
      <sz val="11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84EC-7F0C-47A8-BE06-E86C6CC1B197}">
  <dimension ref="A1:S51"/>
  <sheetViews>
    <sheetView tabSelected="1" workbookViewId="0">
      <pane ySplit="1" topLeftCell="A28" activePane="bottomLeft" state="frozen"/>
      <selection pane="bottomLeft" activeCell="G33" sqref="G33"/>
    </sheetView>
  </sheetViews>
  <sheetFormatPr defaultRowHeight="15"/>
  <cols>
    <col min="1" max="1" width="30.140625" bestFit="1" customWidth="1"/>
    <col min="2" max="2" width="12.7109375" customWidth="1"/>
    <col min="3" max="3" width="9.42578125" style="4" bestFit="1" customWidth="1"/>
    <col min="4" max="4" width="35.85546875" bestFit="1" customWidth="1"/>
    <col min="5" max="5" width="26.42578125" customWidth="1"/>
    <col min="7" max="7" width="13.28515625" bestFit="1" customWidth="1"/>
    <col min="14" max="14" width="15.7109375" customWidth="1"/>
    <col min="15" max="15" width="12.28515625" customWidth="1"/>
    <col min="16" max="16" width="24.28515625" customWidth="1"/>
    <col min="17" max="17" width="43.28515625" bestFit="1" customWidth="1"/>
    <col min="18" max="18" width="36" customWidth="1"/>
    <col min="19" max="19" width="25.7109375" customWidth="1"/>
  </cols>
  <sheetData>
    <row r="1" spans="1:19" ht="16.5">
      <c r="A1" t="s">
        <v>0</v>
      </c>
      <c r="B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1" t="s">
        <v>16</v>
      </c>
      <c r="R1" t="s">
        <v>17</v>
      </c>
      <c r="S1" t="s">
        <v>18</v>
      </c>
    </row>
    <row r="2" spans="1:19">
      <c r="A2" s="5" t="s">
        <v>19</v>
      </c>
      <c r="B2" t="s">
        <v>20</v>
      </c>
      <c r="C2" s="3">
        <f>ROW()-1</f>
        <v>1</v>
      </c>
      <c r="D2" s="1" t="s">
        <v>21</v>
      </c>
      <c r="E2" s="5" t="s">
        <v>22</v>
      </c>
      <c r="F2" s="1" t="s">
        <v>23</v>
      </c>
      <c r="G2" s="1" t="s">
        <v>24</v>
      </c>
      <c r="H2" s="1" t="s">
        <v>25</v>
      </c>
      <c r="I2" s="1">
        <v>0.95</v>
      </c>
      <c r="J2" s="1" t="s">
        <v>25</v>
      </c>
      <c r="K2" s="1">
        <v>1</v>
      </c>
      <c r="L2" s="1" t="s">
        <v>24</v>
      </c>
      <c r="M2" s="1" t="s">
        <v>24</v>
      </c>
      <c r="N2" s="1" t="s">
        <v>24</v>
      </c>
      <c r="O2" s="1" t="s">
        <v>26</v>
      </c>
      <c r="P2" s="1" t="s">
        <v>26</v>
      </c>
      <c r="Q2" s="1"/>
      <c r="R2" s="2" t="s">
        <v>27</v>
      </c>
      <c r="S2" s="2" t="s">
        <v>28</v>
      </c>
    </row>
    <row r="3" spans="1:19">
      <c r="A3" s="5" t="s">
        <v>19</v>
      </c>
      <c r="B3" t="s">
        <v>20</v>
      </c>
      <c r="C3" s="3">
        <f t="shared" ref="C3:C51" si="0">ROW()-1</f>
        <v>2</v>
      </c>
      <c r="D3" s="1" t="s">
        <v>29</v>
      </c>
      <c r="E3" s="5" t="s">
        <v>30</v>
      </c>
      <c r="F3" s="1" t="s">
        <v>23</v>
      </c>
      <c r="G3" s="1" t="s">
        <v>24</v>
      </c>
      <c r="H3" s="1" t="s">
        <v>25</v>
      </c>
      <c r="I3" s="1">
        <v>0.95</v>
      </c>
      <c r="J3" s="1" t="s">
        <v>25</v>
      </c>
      <c r="K3" s="1">
        <v>1</v>
      </c>
      <c r="L3" s="1" t="s">
        <v>24</v>
      </c>
      <c r="M3" s="1" t="s">
        <v>24</v>
      </c>
      <c r="N3" s="1" t="s">
        <v>24</v>
      </c>
      <c r="O3" s="1" t="s">
        <v>26</v>
      </c>
      <c r="P3" s="1" t="s">
        <v>26</v>
      </c>
      <c r="Q3" s="1"/>
      <c r="R3" s="2" t="s">
        <v>31</v>
      </c>
      <c r="S3" s="2" t="s">
        <v>32</v>
      </c>
    </row>
    <row r="4" spans="1:19">
      <c r="A4" s="5" t="s">
        <v>19</v>
      </c>
      <c r="B4" t="s">
        <v>20</v>
      </c>
      <c r="C4" s="3">
        <f t="shared" si="0"/>
        <v>3</v>
      </c>
      <c r="D4" s="1" t="s">
        <v>33</v>
      </c>
      <c r="E4" s="5" t="s">
        <v>34</v>
      </c>
      <c r="F4" s="1" t="s">
        <v>23</v>
      </c>
      <c r="G4" s="1" t="s">
        <v>24</v>
      </c>
      <c r="H4" s="1" t="s">
        <v>25</v>
      </c>
      <c r="I4" s="1">
        <v>0.95</v>
      </c>
      <c r="J4" s="1" t="s">
        <v>25</v>
      </c>
      <c r="K4" s="1">
        <v>1</v>
      </c>
      <c r="L4" s="1" t="s">
        <v>24</v>
      </c>
      <c r="M4" s="1" t="s">
        <v>24</v>
      </c>
      <c r="N4" s="1" t="s">
        <v>24</v>
      </c>
      <c r="O4" s="1" t="s">
        <v>26</v>
      </c>
      <c r="P4" s="1" t="s">
        <v>26</v>
      </c>
      <c r="Q4" s="1"/>
      <c r="R4" s="2" t="s">
        <v>35</v>
      </c>
      <c r="S4" s="2" t="s">
        <v>36</v>
      </c>
    </row>
    <row r="5" spans="1:19">
      <c r="A5" s="5" t="s">
        <v>19</v>
      </c>
      <c r="B5" t="s">
        <v>20</v>
      </c>
      <c r="C5" s="3">
        <f t="shared" si="0"/>
        <v>4</v>
      </c>
      <c r="D5" s="1" t="s">
        <v>37</v>
      </c>
      <c r="E5" s="5" t="s">
        <v>38</v>
      </c>
      <c r="F5" s="1" t="s">
        <v>23</v>
      </c>
      <c r="G5" s="1" t="s">
        <v>24</v>
      </c>
      <c r="H5" s="1" t="s">
        <v>25</v>
      </c>
      <c r="I5" s="1">
        <v>0.95</v>
      </c>
      <c r="J5" s="1" t="s">
        <v>25</v>
      </c>
      <c r="K5" s="1">
        <v>1</v>
      </c>
      <c r="L5" s="1" t="s">
        <v>24</v>
      </c>
      <c r="M5" s="1" t="s">
        <v>24</v>
      </c>
      <c r="N5" s="1" t="s">
        <v>24</v>
      </c>
      <c r="O5" s="1" t="s">
        <v>26</v>
      </c>
      <c r="P5" s="1" t="s">
        <v>26</v>
      </c>
      <c r="Q5" s="1"/>
      <c r="R5" s="2" t="s">
        <v>39</v>
      </c>
      <c r="S5" s="2" t="s">
        <v>40</v>
      </c>
    </row>
    <row r="6" spans="1:19">
      <c r="A6" s="5" t="s">
        <v>19</v>
      </c>
      <c r="B6" t="s">
        <v>20</v>
      </c>
      <c r="C6" s="3">
        <f t="shared" si="0"/>
        <v>5</v>
      </c>
      <c r="D6" s="1" t="s">
        <v>41</v>
      </c>
      <c r="E6" s="5" t="s">
        <v>42</v>
      </c>
      <c r="F6" s="1" t="s">
        <v>43</v>
      </c>
      <c r="G6" s="1" t="s">
        <v>24</v>
      </c>
      <c r="H6" s="1" t="s">
        <v>25</v>
      </c>
      <c r="I6" s="1">
        <v>0.95</v>
      </c>
      <c r="J6" s="1" t="s">
        <v>25</v>
      </c>
      <c r="K6" s="1">
        <v>1</v>
      </c>
      <c r="L6" s="1" t="s">
        <v>26</v>
      </c>
      <c r="M6" s="1" t="s">
        <v>26</v>
      </c>
      <c r="N6" s="1" t="s">
        <v>26</v>
      </c>
      <c r="O6" s="1" t="s">
        <v>24</v>
      </c>
      <c r="P6" s="1" t="s">
        <v>24</v>
      </c>
      <c r="Q6" s="1"/>
      <c r="R6" s="2" t="s">
        <v>44</v>
      </c>
      <c r="S6" s="2" t="s">
        <v>45</v>
      </c>
    </row>
    <row r="7" spans="1:19">
      <c r="A7" s="5" t="s">
        <v>19</v>
      </c>
      <c r="B7" t="s">
        <v>20</v>
      </c>
      <c r="C7" s="3">
        <f t="shared" si="0"/>
        <v>6</v>
      </c>
      <c r="D7" s="1" t="s">
        <v>46</v>
      </c>
      <c r="E7" s="5" t="s">
        <v>47</v>
      </c>
      <c r="F7" s="1" t="s">
        <v>43</v>
      </c>
      <c r="G7" s="1" t="s">
        <v>24</v>
      </c>
      <c r="H7" s="1" t="s">
        <v>25</v>
      </c>
      <c r="I7" s="1">
        <v>0.95</v>
      </c>
      <c r="J7" s="1" t="s">
        <v>25</v>
      </c>
      <c r="K7" s="1">
        <v>1</v>
      </c>
      <c r="L7" s="1" t="s">
        <v>26</v>
      </c>
      <c r="M7" s="1" t="s">
        <v>26</v>
      </c>
      <c r="N7" s="1" t="s">
        <v>26</v>
      </c>
      <c r="O7" s="1" t="s">
        <v>24</v>
      </c>
      <c r="P7" s="1" t="s">
        <v>24</v>
      </c>
      <c r="Q7" s="1"/>
      <c r="R7" s="2" t="s">
        <v>48</v>
      </c>
      <c r="S7" s="2" t="s">
        <v>49</v>
      </c>
    </row>
    <row r="8" spans="1:19">
      <c r="A8" s="5" t="s">
        <v>19</v>
      </c>
      <c r="B8" t="s">
        <v>20</v>
      </c>
      <c r="C8" s="3">
        <f t="shared" si="0"/>
        <v>7</v>
      </c>
      <c r="D8" t="s">
        <v>50</v>
      </c>
      <c r="E8" s="5" t="s">
        <v>51</v>
      </c>
      <c r="F8" s="1" t="s">
        <v>43</v>
      </c>
      <c r="G8" s="1" t="s">
        <v>24</v>
      </c>
      <c r="H8" s="1" t="s">
        <v>25</v>
      </c>
      <c r="I8" s="1">
        <v>0.95</v>
      </c>
      <c r="J8" s="1" t="s">
        <v>25</v>
      </c>
      <c r="K8" s="1">
        <v>1</v>
      </c>
      <c r="L8" s="1" t="s">
        <v>26</v>
      </c>
      <c r="M8" s="1" t="s">
        <v>26</v>
      </c>
      <c r="N8" s="1" t="s">
        <v>26</v>
      </c>
      <c r="O8" s="1" t="s">
        <v>24</v>
      </c>
      <c r="P8" s="1" t="s">
        <v>24</v>
      </c>
      <c r="Q8" s="1"/>
      <c r="R8" s="2" t="s">
        <v>52</v>
      </c>
      <c r="S8" s="2" t="s">
        <v>53</v>
      </c>
    </row>
    <row r="9" spans="1:19">
      <c r="A9" s="5" t="s">
        <v>19</v>
      </c>
      <c r="B9" t="s">
        <v>20</v>
      </c>
      <c r="C9" s="3">
        <f t="shared" si="0"/>
        <v>8</v>
      </c>
      <c r="D9" t="s">
        <v>54</v>
      </c>
      <c r="E9" s="5" t="s">
        <v>55</v>
      </c>
      <c r="F9" s="1" t="s">
        <v>43</v>
      </c>
      <c r="G9" s="1" t="s">
        <v>26</v>
      </c>
      <c r="H9" s="1"/>
      <c r="I9" s="1"/>
      <c r="J9" s="1"/>
      <c r="K9" s="1"/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  <c r="Q9" s="1"/>
      <c r="R9" s="2"/>
    </row>
    <row r="10" spans="1:19">
      <c r="A10" s="5" t="s">
        <v>19</v>
      </c>
      <c r="B10" t="s">
        <v>20</v>
      </c>
      <c r="C10" s="3">
        <f t="shared" si="0"/>
        <v>9</v>
      </c>
      <c r="D10" t="s">
        <v>56</v>
      </c>
      <c r="E10" s="5" t="s">
        <v>57</v>
      </c>
      <c r="F10" s="1" t="s">
        <v>43</v>
      </c>
      <c r="G10" s="1" t="s">
        <v>26</v>
      </c>
      <c r="H10" s="1"/>
      <c r="I10" s="1"/>
      <c r="J10" s="1"/>
      <c r="K10" s="1"/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  <c r="Q10" s="1"/>
      <c r="R10" s="2"/>
    </row>
    <row r="11" spans="1:19">
      <c r="A11" s="5" t="s">
        <v>19</v>
      </c>
      <c r="B11" t="s">
        <v>20</v>
      </c>
      <c r="C11" s="3">
        <f t="shared" si="0"/>
        <v>10</v>
      </c>
      <c r="D11" t="s">
        <v>58</v>
      </c>
      <c r="E11" s="5" t="s">
        <v>59</v>
      </c>
      <c r="F11" s="1" t="s">
        <v>43</v>
      </c>
      <c r="G11" s="1" t="s">
        <v>24</v>
      </c>
      <c r="H11" s="1" t="s">
        <v>25</v>
      </c>
      <c r="I11" s="1">
        <v>0.95</v>
      </c>
      <c r="J11" s="1" t="s">
        <v>25</v>
      </c>
      <c r="K11" s="1">
        <v>1</v>
      </c>
      <c r="L11" s="1" t="s">
        <v>26</v>
      </c>
      <c r="M11" s="1" t="s">
        <v>26</v>
      </c>
      <c r="N11" s="1" t="s">
        <v>26</v>
      </c>
      <c r="O11" s="1" t="s">
        <v>24</v>
      </c>
      <c r="P11" s="1" t="s">
        <v>24</v>
      </c>
      <c r="Q11" s="1"/>
      <c r="R11" s="2" t="s">
        <v>60</v>
      </c>
      <c r="S11" s="2" t="s">
        <v>61</v>
      </c>
    </row>
    <row r="12" spans="1:19">
      <c r="A12" s="5" t="s">
        <v>19</v>
      </c>
      <c r="B12" t="s">
        <v>20</v>
      </c>
      <c r="C12" s="3">
        <f t="shared" si="0"/>
        <v>11</v>
      </c>
      <c r="D12" t="s">
        <v>62</v>
      </c>
      <c r="E12" s="5" t="s">
        <v>63</v>
      </c>
      <c r="F12" s="1" t="s">
        <v>43</v>
      </c>
      <c r="G12" s="1" t="s">
        <v>24</v>
      </c>
      <c r="H12" s="1" t="s">
        <v>25</v>
      </c>
      <c r="I12" s="1">
        <v>0.95</v>
      </c>
      <c r="J12" s="1" t="s">
        <v>25</v>
      </c>
      <c r="K12" s="1">
        <v>1</v>
      </c>
      <c r="L12" s="1" t="s">
        <v>26</v>
      </c>
      <c r="M12" s="1" t="s">
        <v>26</v>
      </c>
      <c r="N12" s="1" t="s">
        <v>26</v>
      </c>
      <c r="O12" s="1" t="s">
        <v>24</v>
      </c>
      <c r="P12" s="1" t="s">
        <v>24</v>
      </c>
      <c r="Q12" s="1"/>
      <c r="R12" s="2" t="s">
        <v>64</v>
      </c>
      <c r="S12" s="2" t="s">
        <v>65</v>
      </c>
    </row>
    <row r="13" spans="1:19">
      <c r="A13" s="5" t="s">
        <v>19</v>
      </c>
      <c r="B13" t="s">
        <v>20</v>
      </c>
      <c r="C13" s="3">
        <f t="shared" si="0"/>
        <v>12</v>
      </c>
      <c r="D13" t="s">
        <v>66</v>
      </c>
      <c r="E13" s="5" t="s">
        <v>67</v>
      </c>
      <c r="F13" s="1" t="s">
        <v>43</v>
      </c>
      <c r="G13" s="1" t="s">
        <v>24</v>
      </c>
      <c r="H13" s="1" t="s">
        <v>25</v>
      </c>
      <c r="I13" s="1">
        <v>0.95</v>
      </c>
      <c r="J13" s="1" t="s">
        <v>25</v>
      </c>
      <c r="K13" s="1">
        <v>1</v>
      </c>
      <c r="L13" s="1" t="s">
        <v>26</v>
      </c>
      <c r="M13" s="1" t="s">
        <v>26</v>
      </c>
      <c r="N13" s="1" t="s">
        <v>26</v>
      </c>
      <c r="O13" s="1" t="s">
        <v>24</v>
      </c>
      <c r="P13" s="1" t="s">
        <v>24</v>
      </c>
      <c r="Q13" s="1"/>
      <c r="R13" s="2" t="s">
        <v>68</v>
      </c>
      <c r="S13" s="2" t="s">
        <v>69</v>
      </c>
    </row>
    <row r="14" spans="1:19">
      <c r="A14" t="s">
        <v>70</v>
      </c>
      <c r="B14" t="s">
        <v>71</v>
      </c>
      <c r="C14" s="3">
        <f t="shared" si="0"/>
        <v>13</v>
      </c>
      <c r="D14" s="1" t="s">
        <v>72</v>
      </c>
      <c r="E14" s="1" t="s">
        <v>73</v>
      </c>
      <c r="F14" s="1" t="s">
        <v>23</v>
      </c>
      <c r="G14" s="1" t="s">
        <v>26</v>
      </c>
      <c r="H14" s="1"/>
      <c r="I14" s="1"/>
      <c r="J14" s="1"/>
      <c r="K14" s="1"/>
      <c r="L14" s="1" t="s">
        <v>24</v>
      </c>
      <c r="M14" s="1" t="s">
        <v>24</v>
      </c>
      <c r="N14" s="1" t="s">
        <v>26</v>
      </c>
      <c r="O14" s="1" t="s">
        <v>26</v>
      </c>
      <c r="P14" s="1" t="s">
        <v>26</v>
      </c>
      <c r="Q14" s="1"/>
      <c r="R14" s="2" t="s">
        <v>74</v>
      </c>
    </row>
    <row r="15" spans="1:19">
      <c r="A15" t="s">
        <v>70</v>
      </c>
      <c r="B15" t="s">
        <v>71</v>
      </c>
      <c r="C15" s="3">
        <f t="shared" si="0"/>
        <v>14</v>
      </c>
      <c r="D15" s="1" t="s">
        <v>75</v>
      </c>
      <c r="E15" s="1" t="s">
        <v>76</v>
      </c>
      <c r="F15" s="1" t="s">
        <v>23</v>
      </c>
      <c r="G15" s="1" t="s">
        <v>26</v>
      </c>
      <c r="H15" s="1"/>
      <c r="I15" s="1"/>
      <c r="J15" s="1"/>
      <c r="K15" s="1"/>
      <c r="L15" s="1" t="s">
        <v>24</v>
      </c>
      <c r="M15" s="1" t="s">
        <v>24</v>
      </c>
      <c r="N15" s="1" t="s">
        <v>26</v>
      </c>
      <c r="O15" s="1" t="s">
        <v>26</v>
      </c>
      <c r="P15" s="1" t="s">
        <v>26</v>
      </c>
      <c r="Q15" s="1"/>
      <c r="R15" s="2" t="s">
        <v>77</v>
      </c>
    </row>
    <row r="16" spans="1:19">
      <c r="A16" t="s">
        <v>70</v>
      </c>
      <c r="B16" t="s">
        <v>71</v>
      </c>
      <c r="C16" s="3">
        <f t="shared" si="0"/>
        <v>15</v>
      </c>
      <c r="D16" s="1" t="s">
        <v>78</v>
      </c>
      <c r="E16" s="1" t="s">
        <v>79</v>
      </c>
      <c r="F16" s="1" t="s">
        <v>23</v>
      </c>
      <c r="G16" s="1" t="s">
        <v>26</v>
      </c>
      <c r="H16" s="1"/>
      <c r="I16" s="1"/>
      <c r="J16" s="1"/>
      <c r="K16" s="1"/>
      <c r="L16" s="1" t="s">
        <v>24</v>
      </c>
      <c r="M16" s="1" t="s">
        <v>24</v>
      </c>
      <c r="N16" s="1" t="s">
        <v>26</v>
      </c>
      <c r="O16" s="1" t="s">
        <v>26</v>
      </c>
      <c r="P16" s="1" t="s">
        <v>26</v>
      </c>
      <c r="Q16" s="1"/>
      <c r="R16" s="2" t="s">
        <v>80</v>
      </c>
    </row>
    <row r="17" spans="1:19">
      <c r="A17" t="s">
        <v>70</v>
      </c>
      <c r="B17" t="s">
        <v>71</v>
      </c>
      <c r="C17" s="3">
        <f t="shared" si="0"/>
        <v>16</v>
      </c>
      <c r="D17" s="1" t="s">
        <v>81</v>
      </c>
      <c r="E17" s="1" t="s">
        <v>82</v>
      </c>
      <c r="F17" s="1" t="s">
        <v>23</v>
      </c>
      <c r="G17" s="1" t="s">
        <v>24</v>
      </c>
      <c r="H17" s="1" t="s">
        <v>83</v>
      </c>
      <c r="I17" s="1">
        <v>0.95</v>
      </c>
      <c r="J17" s="1" t="s">
        <v>25</v>
      </c>
      <c r="K17" s="1">
        <v>1</v>
      </c>
      <c r="L17" s="1" t="s">
        <v>24</v>
      </c>
      <c r="M17" s="1" t="s">
        <v>24</v>
      </c>
      <c r="N17" s="1" t="s">
        <v>24</v>
      </c>
      <c r="O17" s="1" t="s">
        <v>26</v>
      </c>
      <c r="P17" s="1" t="s">
        <v>26</v>
      </c>
      <c r="Q17" s="1"/>
      <c r="R17" s="2" t="s">
        <v>84</v>
      </c>
      <c r="S17" s="2" t="s">
        <v>85</v>
      </c>
    </row>
    <row r="18" spans="1:19">
      <c r="A18" t="s">
        <v>70</v>
      </c>
      <c r="B18" t="s">
        <v>71</v>
      </c>
      <c r="C18" s="3">
        <f t="shared" si="0"/>
        <v>17</v>
      </c>
      <c r="D18" s="1" t="s">
        <v>86</v>
      </c>
      <c r="E18" s="1" t="s">
        <v>87</v>
      </c>
      <c r="F18" s="1" t="s">
        <v>23</v>
      </c>
      <c r="G18" s="1" t="s">
        <v>24</v>
      </c>
      <c r="H18" s="1" t="s">
        <v>83</v>
      </c>
      <c r="I18" s="1">
        <v>0.95</v>
      </c>
      <c r="J18" s="1" t="s">
        <v>25</v>
      </c>
      <c r="K18" s="1">
        <v>1</v>
      </c>
      <c r="L18" s="1" t="s">
        <v>24</v>
      </c>
      <c r="M18" s="1" t="s">
        <v>24</v>
      </c>
      <c r="N18" s="1" t="s">
        <v>24</v>
      </c>
      <c r="O18" s="1" t="s">
        <v>26</v>
      </c>
      <c r="P18" s="1" t="s">
        <v>26</v>
      </c>
      <c r="Q18" s="1"/>
      <c r="R18" s="2" t="s">
        <v>88</v>
      </c>
      <c r="S18" s="2" t="s">
        <v>88</v>
      </c>
    </row>
    <row r="19" spans="1:19">
      <c r="A19" t="s">
        <v>70</v>
      </c>
      <c r="B19" t="s">
        <v>71</v>
      </c>
      <c r="C19" s="3">
        <f t="shared" si="0"/>
        <v>18</v>
      </c>
      <c r="D19" s="1" t="s">
        <v>89</v>
      </c>
      <c r="E19" s="1" t="s">
        <v>90</v>
      </c>
      <c r="F19" s="1" t="s">
        <v>23</v>
      </c>
      <c r="G19" s="1" t="s">
        <v>24</v>
      </c>
      <c r="H19" s="1" t="s">
        <v>83</v>
      </c>
      <c r="I19" s="1">
        <v>0.95</v>
      </c>
      <c r="J19" s="1" t="s">
        <v>25</v>
      </c>
      <c r="K19" s="1">
        <v>1</v>
      </c>
      <c r="L19" s="1" t="s">
        <v>24</v>
      </c>
      <c r="M19" s="1" t="s">
        <v>24</v>
      </c>
      <c r="N19" s="1" t="s">
        <v>24</v>
      </c>
      <c r="O19" s="1" t="s">
        <v>26</v>
      </c>
      <c r="P19" s="1" t="s">
        <v>26</v>
      </c>
      <c r="Q19" s="1"/>
      <c r="R19" s="2" t="s">
        <v>91</v>
      </c>
      <c r="S19" s="2" t="s">
        <v>91</v>
      </c>
    </row>
    <row r="20" spans="1:19">
      <c r="A20" t="s">
        <v>70</v>
      </c>
      <c r="B20" t="s">
        <v>92</v>
      </c>
      <c r="C20" s="3">
        <f t="shared" si="0"/>
        <v>19</v>
      </c>
      <c r="D20" s="1" t="s">
        <v>93</v>
      </c>
      <c r="E20" s="1" t="s">
        <v>94</v>
      </c>
      <c r="F20" s="1" t="s">
        <v>23</v>
      </c>
      <c r="G20" s="1" t="s">
        <v>24</v>
      </c>
      <c r="H20" s="1" t="s">
        <v>25</v>
      </c>
      <c r="I20" s="1">
        <v>0.95</v>
      </c>
      <c r="J20" s="1" t="s">
        <v>25</v>
      </c>
      <c r="K20" s="1">
        <v>1</v>
      </c>
      <c r="L20" s="1" t="s">
        <v>24</v>
      </c>
      <c r="M20" s="1" t="s">
        <v>26</v>
      </c>
      <c r="N20" s="1" t="s">
        <v>24</v>
      </c>
      <c r="O20" s="1" t="s">
        <v>26</v>
      </c>
      <c r="P20" s="1" t="s">
        <v>26</v>
      </c>
      <c r="Q20" s="1"/>
      <c r="R20" s="2" t="s">
        <v>95</v>
      </c>
      <c r="S20" s="2" t="s">
        <v>96</v>
      </c>
    </row>
    <row r="21" spans="1:19">
      <c r="A21" t="s">
        <v>70</v>
      </c>
      <c r="B21" t="s">
        <v>92</v>
      </c>
      <c r="C21" s="3">
        <f t="shared" si="0"/>
        <v>20</v>
      </c>
      <c r="D21" s="1" t="s">
        <v>97</v>
      </c>
      <c r="E21" s="1" t="s">
        <v>98</v>
      </c>
      <c r="F21" s="1" t="s">
        <v>23</v>
      </c>
      <c r="G21" s="1" t="s">
        <v>24</v>
      </c>
      <c r="H21" s="1" t="s">
        <v>25</v>
      </c>
      <c r="I21" s="1">
        <v>0.95</v>
      </c>
      <c r="J21" s="1" t="s">
        <v>25</v>
      </c>
      <c r="K21" s="1">
        <v>1</v>
      </c>
      <c r="L21" s="1" t="s">
        <v>26</v>
      </c>
      <c r="M21" s="1" t="s">
        <v>26</v>
      </c>
      <c r="N21" s="1" t="s">
        <v>26</v>
      </c>
      <c r="O21" s="1" t="s">
        <v>24</v>
      </c>
      <c r="P21" s="1" t="s">
        <v>26</v>
      </c>
      <c r="Q21" s="1"/>
      <c r="R21" s="2" t="s">
        <v>99</v>
      </c>
      <c r="S21" s="2" t="s">
        <v>100</v>
      </c>
    </row>
    <row r="22" spans="1:19">
      <c r="A22" t="s">
        <v>70</v>
      </c>
      <c r="B22" t="s">
        <v>92</v>
      </c>
      <c r="C22" s="3">
        <f t="shared" si="0"/>
        <v>21</v>
      </c>
      <c r="D22" s="1" t="s">
        <v>101</v>
      </c>
      <c r="E22" t="s">
        <v>102</v>
      </c>
      <c r="F22" s="1" t="s">
        <v>23</v>
      </c>
      <c r="G22" s="1" t="s">
        <v>24</v>
      </c>
      <c r="H22" s="1" t="s">
        <v>25</v>
      </c>
      <c r="I22" s="1">
        <v>0.95</v>
      </c>
      <c r="J22" s="1" t="s">
        <v>25</v>
      </c>
      <c r="K22" s="1">
        <v>1</v>
      </c>
      <c r="L22" s="1" t="s">
        <v>26</v>
      </c>
      <c r="M22" s="1" t="s">
        <v>26</v>
      </c>
      <c r="N22" s="1"/>
      <c r="O22" s="1"/>
      <c r="P22" s="1" t="s">
        <v>26</v>
      </c>
      <c r="Q22" s="1"/>
      <c r="R22" s="2"/>
      <c r="S22" s="2"/>
    </row>
    <row r="23" spans="1:19">
      <c r="A23" t="s">
        <v>70</v>
      </c>
      <c r="B23" t="s">
        <v>92</v>
      </c>
      <c r="C23" s="3">
        <f t="shared" si="0"/>
        <v>22</v>
      </c>
      <c r="D23" t="s">
        <v>103</v>
      </c>
      <c r="E23" t="s">
        <v>104</v>
      </c>
      <c r="F23" s="1" t="s">
        <v>23</v>
      </c>
      <c r="G23" s="1" t="s">
        <v>24</v>
      </c>
      <c r="H23" s="1" t="s">
        <v>25</v>
      </c>
      <c r="I23" s="1">
        <v>0.95</v>
      </c>
      <c r="J23" s="1" t="s">
        <v>25</v>
      </c>
      <c r="K23" s="1">
        <v>1</v>
      </c>
      <c r="L23" s="1" t="s">
        <v>26</v>
      </c>
      <c r="M23" s="1" t="s">
        <v>26</v>
      </c>
      <c r="N23" s="1" t="s">
        <v>26</v>
      </c>
      <c r="O23" s="1" t="s">
        <v>24</v>
      </c>
      <c r="P23" s="1" t="s">
        <v>26</v>
      </c>
      <c r="Q23" s="1"/>
      <c r="R23" s="2" t="s">
        <v>105</v>
      </c>
      <c r="S23" s="2" t="s">
        <v>106</v>
      </c>
    </row>
    <row r="24" spans="1:19">
      <c r="A24" t="s">
        <v>70</v>
      </c>
      <c r="B24" t="s">
        <v>92</v>
      </c>
      <c r="C24" s="3">
        <f t="shared" si="0"/>
        <v>23</v>
      </c>
      <c r="D24" t="s">
        <v>107</v>
      </c>
      <c r="E24" t="s">
        <v>108</v>
      </c>
      <c r="F24" s="1" t="s">
        <v>23</v>
      </c>
      <c r="G24" s="1" t="s">
        <v>24</v>
      </c>
      <c r="H24" s="1" t="s">
        <v>25</v>
      </c>
      <c r="I24" s="1">
        <v>0.95</v>
      </c>
      <c r="J24" s="1" t="s">
        <v>25</v>
      </c>
      <c r="K24" s="1">
        <v>1</v>
      </c>
      <c r="L24" s="1" t="s">
        <v>26</v>
      </c>
      <c r="M24" s="1" t="s">
        <v>26</v>
      </c>
      <c r="N24" s="1"/>
      <c r="O24" s="1"/>
      <c r="P24" s="1" t="s">
        <v>26</v>
      </c>
      <c r="Q24" s="1"/>
      <c r="R24" s="2"/>
      <c r="S24" s="2"/>
    </row>
    <row r="25" spans="1:19">
      <c r="A25" t="s">
        <v>70</v>
      </c>
      <c r="B25" t="s">
        <v>20</v>
      </c>
      <c r="C25" s="3">
        <f>ROW()-1</f>
        <v>24</v>
      </c>
      <c r="D25" t="s">
        <v>109</v>
      </c>
      <c r="E25" t="s">
        <v>110</v>
      </c>
      <c r="F25" s="1" t="s">
        <v>23</v>
      </c>
      <c r="G25" s="1" t="s">
        <v>24</v>
      </c>
      <c r="H25" s="1" t="s">
        <v>25</v>
      </c>
      <c r="I25" s="1">
        <v>0.95</v>
      </c>
      <c r="J25" s="1" t="s">
        <v>25</v>
      </c>
      <c r="K25" s="1">
        <v>1</v>
      </c>
      <c r="L25" s="1" t="s">
        <v>24</v>
      </c>
      <c r="M25" s="1" t="s">
        <v>24</v>
      </c>
      <c r="N25" s="1" t="s">
        <v>24</v>
      </c>
      <c r="O25" s="1" t="s">
        <v>26</v>
      </c>
      <c r="P25" s="1" t="s">
        <v>26</v>
      </c>
      <c r="Q25" t="s">
        <v>109</v>
      </c>
      <c r="R25" s="2" t="s">
        <v>111</v>
      </c>
      <c r="S25" s="2" t="s">
        <v>112</v>
      </c>
    </row>
    <row r="26" spans="1:19">
      <c r="A26" t="s">
        <v>70</v>
      </c>
      <c r="B26" t="s">
        <v>20</v>
      </c>
      <c r="C26" s="3">
        <f t="shared" si="0"/>
        <v>25</v>
      </c>
      <c r="D26" t="s">
        <v>113</v>
      </c>
      <c r="E26" t="s">
        <v>114</v>
      </c>
      <c r="F26" s="1" t="s">
        <v>23</v>
      </c>
      <c r="G26" s="1" t="s">
        <v>24</v>
      </c>
      <c r="H26" s="1" t="s">
        <v>25</v>
      </c>
      <c r="I26" s="1">
        <v>0.95</v>
      </c>
      <c r="J26" s="1" t="s">
        <v>25</v>
      </c>
      <c r="K26" s="1">
        <v>1</v>
      </c>
      <c r="L26" s="1" t="s">
        <v>24</v>
      </c>
      <c r="M26" s="1" t="s">
        <v>24</v>
      </c>
      <c r="N26" s="1" t="s">
        <v>24</v>
      </c>
      <c r="O26" s="1" t="s">
        <v>26</v>
      </c>
      <c r="P26" s="1" t="s">
        <v>26</v>
      </c>
      <c r="Q26" t="s">
        <v>113</v>
      </c>
      <c r="R26" s="2" t="s">
        <v>111</v>
      </c>
      <c r="S26" s="2" t="s">
        <v>112</v>
      </c>
    </row>
    <row r="27" spans="1:19">
      <c r="A27" t="s">
        <v>70</v>
      </c>
      <c r="B27" t="s">
        <v>20</v>
      </c>
      <c r="C27" s="3">
        <f t="shared" si="0"/>
        <v>26</v>
      </c>
      <c r="D27" t="s">
        <v>115</v>
      </c>
      <c r="E27" t="s">
        <v>116</v>
      </c>
      <c r="F27" s="1" t="s">
        <v>23</v>
      </c>
      <c r="G27" s="1" t="s">
        <v>24</v>
      </c>
      <c r="H27" s="1" t="s">
        <v>25</v>
      </c>
      <c r="I27" s="1">
        <v>0.95</v>
      </c>
      <c r="J27" s="1" t="s">
        <v>25</v>
      </c>
      <c r="K27" s="1">
        <v>1</v>
      </c>
      <c r="L27" s="1" t="s">
        <v>24</v>
      </c>
      <c r="M27" s="1" t="s">
        <v>24</v>
      </c>
      <c r="N27" s="1" t="s">
        <v>24</v>
      </c>
      <c r="O27" s="1" t="s">
        <v>26</v>
      </c>
      <c r="P27" s="1" t="s">
        <v>26</v>
      </c>
      <c r="Q27" t="s">
        <v>115</v>
      </c>
      <c r="R27" s="2" t="s">
        <v>111</v>
      </c>
      <c r="S27" s="2" t="s">
        <v>112</v>
      </c>
    </row>
    <row r="28" spans="1:19">
      <c r="A28" t="s">
        <v>70</v>
      </c>
      <c r="B28" t="s">
        <v>20</v>
      </c>
      <c r="C28" s="3">
        <f t="shared" si="0"/>
        <v>27</v>
      </c>
      <c r="D28" t="s">
        <v>117</v>
      </c>
      <c r="E28" t="s">
        <v>118</v>
      </c>
      <c r="F28" s="1" t="s">
        <v>23</v>
      </c>
      <c r="G28" s="1" t="s">
        <v>24</v>
      </c>
      <c r="H28" s="1" t="s">
        <v>25</v>
      </c>
      <c r="I28" s="1">
        <v>0.95</v>
      </c>
      <c r="J28" s="1" t="s">
        <v>25</v>
      </c>
      <c r="K28" s="1">
        <v>1</v>
      </c>
      <c r="L28" s="1" t="s">
        <v>24</v>
      </c>
      <c r="M28" s="1" t="s">
        <v>24</v>
      </c>
      <c r="N28" s="1" t="s">
        <v>24</v>
      </c>
      <c r="O28" s="1" t="s">
        <v>26</v>
      </c>
      <c r="P28" s="1" t="s">
        <v>26</v>
      </c>
      <c r="Q28" t="s">
        <v>117</v>
      </c>
      <c r="R28" s="2" t="s">
        <v>111</v>
      </c>
      <c r="S28" s="2" t="s">
        <v>112</v>
      </c>
    </row>
    <row r="29" spans="1:19">
      <c r="A29" t="s">
        <v>70</v>
      </c>
      <c r="B29" t="s">
        <v>20</v>
      </c>
      <c r="C29" s="3">
        <f>ROW()-1</f>
        <v>28</v>
      </c>
      <c r="D29" t="s">
        <v>119</v>
      </c>
      <c r="E29" t="s">
        <v>120</v>
      </c>
      <c r="F29" s="1" t="s">
        <v>23</v>
      </c>
      <c r="G29" s="1" t="s">
        <v>24</v>
      </c>
      <c r="H29" s="1" t="s">
        <v>25</v>
      </c>
      <c r="I29" s="1">
        <v>0.95</v>
      </c>
      <c r="J29" s="1" t="s">
        <v>25</v>
      </c>
      <c r="K29" s="1">
        <v>1</v>
      </c>
      <c r="L29" s="1" t="s">
        <v>24</v>
      </c>
      <c r="M29" s="1" t="s">
        <v>24</v>
      </c>
      <c r="N29" s="1" t="s">
        <v>24</v>
      </c>
      <c r="O29" s="1" t="s">
        <v>26</v>
      </c>
      <c r="P29" s="1" t="s">
        <v>26</v>
      </c>
      <c r="Q29" t="s">
        <v>119</v>
      </c>
      <c r="R29" s="2" t="s">
        <v>111</v>
      </c>
      <c r="S29" s="2" t="s">
        <v>112</v>
      </c>
    </row>
    <row r="30" spans="1:19">
      <c r="A30" t="s">
        <v>70</v>
      </c>
      <c r="B30" t="s">
        <v>20</v>
      </c>
      <c r="C30" s="3">
        <f t="shared" si="0"/>
        <v>29</v>
      </c>
      <c r="D30" t="s">
        <v>121</v>
      </c>
      <c r="E30" t="s">
        <v>122</v>
      </c>
      <c r="F30" s="1" t="s">
        <v>23</v>
      </c>
      <c r="G30" s="1" t="s">
        <v>24</v>
      </c>
      <c r="H30" s="1" t="s">
        <v>25</v>
      </c>
      <c r="I30" s="1">
        <v>0.95</v>
      </c>
      <c r="J30" s="1" t="s">
        <v>25</v>
      </c>
      <c r="K30" s="1">
        <v>1</v>
      </c>
      <c r="L30" s="1" t="s">
        <v>24</v>
      </c>
      <c r="M30" s="1" t="s">
        <v>24</v>
      </c>
      <c r="N30" s="1" t="s">
        <v>24</v>
      </c>
      <c r="O30" s="1" t="s">
        <v>26</v>
      </c>
      <c r="P30" s="1" t="s">
        <v>26</v>
      </c>
      <c r="Q30" t="s">
        <v>121</v>
      </c>
      <c r="R30" s="2" t="s">
        <v>111</v>
      </c>
      <c r="S30" s="2" t="s">
        <v>112</v>
      </c>
    </row>
    <row r="31" spans="1:19">
      <c r="A31" t="s">
        <v>70</v>
      </c>
      <c r="B31" t="s">
        <v>20</v>
      </c>
      <c r="C31" s="3">
        <f t="shared" si="0"/>
        <v>30</v>
      </c>
      <c r="D31" t="s">
        <v>123</v>
      </c>
      <c r="E31" t="s">
        <v>124</v>
      </c>
      <c r="F31" s="1" t="s">
        <v>23</v>
      </c>
      <c r="G31" s="1" t="s">
        <v>24</v>
      </c>
      <c r="H31" s="1" t="s">
        <v>25</v>
      </c>
      <c r="I31" s="1">
        <v>0.95</v>
      </c>
      <c r="J31" s="1" t="s">
        <v>25</v>
      </c>
      <c r="K31" s="1">
        <v>1</v>
      </c>
      <c r="L31" s="1" t="s">
        <v>24</v>
      </c>
      <c r="M31" s="1" t="s">
        <v>24</v>
      </c>
      <c r="N31" s="1" t="s">
        <v>24</v>
      </c>
      <c r="O31" s="1" t="s">
        <v>26</v>
      </c>
      <c r="P31" s="1" t="s">
        <v>26</v>
      </c>
      <c r="Q31" t="s">
        <v>123</v>
      </c>
      <c r="R31" s="2" t="s">
        <v>111</v>
      </c>
      <c r="S31" s="2" t="s">
        <v>112</v>
      </c>
    </row>
    <row r="32" spans="1:19">
      <c r="A32" t="s">
        <v>70</v>
      </c>
      <c r="B32" t="s">
        <v>20</v>
      </c>
      <c r="C32" s="3">
        <f t="shared" si="0"/>
        <v>31</v>
      </c>
      <c r="D32" t="s">
        <v>125</v>
      </c>
      <c r="E32" t="s">
        <v>126</v>
      </c>
      <c r="F32" s="1" t="s">
        <v>23</v>
      </c>
      <c r="G32" s="1" t="s">
        <v>24</v>
      </c>
      <c r="H32" s="1" t="s">
        <v>25</v>
      </c>
      <c r="I32" s="1">
        <v>0.95</v>
      </c>
      <c r="J32" s="1" t="s">
        <v>25</v>
      </c>
      <c r="K32" s="1">
        <v>1</v>
      </c>
      <c r="L32" s="1" t="s">
        <v>24</v>
      </c>
      <c r="M32" s="1" t="s">
        <v>24</v>
      </c>
      <c r="N32" s="1" t="s">
        <v>24</v>
      </c>
      <c r="O32" s="1" t="s">
        <v>26</v>
      </c>
      <c r="P32" s="1" t="s">
        <v>26</v>
      </c>
      <c r="Q32" t="s">
        <v>125</v>
      </c>
      <c r="R32" s="2" t="s">
        <v>111</v>
      </c>
      <c r="S32" s="2" t="s">
        <v>112</v>
      </c>
    </row>
    <row r="33" spans="1:19">
      <c r="A33" t="s">
        <v>70</v>
      </c>
      <c r="B33" t="s">
        <v>127</v>
      </c>
      <c r="C33" s="3">
        <f t="shared" si="0"/>
        <v>32</v>
      </c>
      <c r="D33" t="s">
        <v>128</v>
      </c>
      <c r="E33" t="s">
        <v>129</v>
      </c>
      <c r="F33" s="1" t="s">
        <v>23</v>
      </c>
      <c r="G33" t="s">
        <v>24</v>
      </c>
      <c r="H33" s="1" t="s">
        <v>25</v>
      </c>
      <c r="I33" s="1">
        <v>0.95</v>
      </c>
      <c r="J33" s="1" t="s">
        <v>25</v>
      </c>
      <c r="K33" s="1">
        <v>1</v>
      </c>
      <c r="L33" s="1" t="s">
        <v>24</v>
      </c>
      <c r="M33" s="1" t="s">
        <v>24</v>
      </c>
      <c r="N33" t="s">
        <v>26</v>
      </c>
      <c r="O33" t="s">
        <v>26</v>
      </c>
      <c r="P33" t="s">
        <v>26</v>
      </c>
      <c r="Q33" s="1" t="s">
        <v>130</v>
      </c>
      <c r="R33" s="2" t="s">
        <v>111</v>
      </c>
      <c r="S33" s="2" t="s">
        <v>112</v>
      </c>
    </row>
    <row r="34" spans="1:19">
      <c r="A34" t="s">
        <v>70</v>
      </c>
      <c r="B34" t="s">
        <v>127</v>
      </c>
      <c r="C34" s="3">
        <f t="shared" si="0"/>
        <v>33</v>
      </c>
      <c r="D34" t="s">
        <v>131</v>
      </c>
      <c r="E34" t="s">
        <v>132</v>
      </c>
      <c r="F34" s="1" t="s">
        <v>23</v>
      </c>
      <c r="G34" t="s">
        <v>26</v>
      </c>
      <c r="L34" s="1" t="s">
        <v>24</v>
      </c>
      <c r="M34" s="1" t="s">
        <v>24</v>
      </c>
      <c r="N34" t="s">
        <v>26</v>
      </c>
      <c r="O34" t="s">
        <v>26</v>
      </c>
      <c r="P34" t="s">
        <v>26</v>
      </c>
      <c r="Q34" s="1" t="s">
        <v>130</v>
      </c>
      <c r="R34" s="2" t="s">
        <v>111</v>
      </c>
    </row>
    <row r="35" spans="1:19">
      <c r="A35" t="s">
        <v>70</v>
      </c>
      <c r="B35" t="s">
        <v>127</v>
      </c>
      <c r="C35" s="3">
        <f t="shared" si="0"/>
        <v>34</v>
      </c>
      <c r="D35" t="s">
        <v>133</v>
      </c>
      <c r="E35" t="s">
        <v>134</v>
      </c>
      <c r="F35" s="1" t="s">
        <v>23</v>
      </c>
      <c r="G35" t="s">
        <v>26</v>
      </c>
      <c r="L35" s="1" t="s">
        <v>24</v>
      </c>
      <c r="M35" s="1" t="s">
        <v>24</v>
      </c>
      <c r="N35" t="s">
        <v>26</v>
      </c>
      <c r="O35" t="s">
        <v>26</v>
      </c>
      <c r="P35" t="s">
        <v>26</v>
      </c>
      <c r="Q35" s="1" t="s">
        <v>130</v>
      </c>
      <c r="R35" s="2" t="s">
        <v>111</v>
      </c>
    </row>
    <row r="36" spans="1:19">
      <c r="A36" t="s">
        <v>70</v>
      </c>
      <c r="B36" t="s">
        <v>127</v>
      </c>
      <c r="C36" s="3">
        <f t="shared" si="0"/>
        <v>35</v>
      </c>
      <c r="D36" t="s">
        <v>135</v>
      </c>
      <c r="E36" t="s">
        <v>136</v>
      </c>
      <c r="F36" s="1" t="s">
        <v>23</v>
      </c>
      <c r="G36" t="s">
        <v>26</v>
      </c>
      <c r="L36" s="1" t="s">
        <v>24</v>
      </c>
      <c r="M36" s="1" t="s">
        <v>24</v>
      </c>
      <c r="N36" t="s">
        <v>26</v>
      </c>
      <c r="O36" t="s">
        <v>26</v>
      </c>
      <c r="P36" t="s">
        <v>26</v>
      </c>
      <c r="Q36" s="1" t="s">
        <v>130</v>
      </c>
      <c r="R36" s="2" t="s">
        <v>111</v>
      </c>
    </row>
    <row r="37" spans="1:19">
      <c r="A37" t="s">
        <v>70</v>
      </c>
      <c r="B37" t="s">
        <v>127</v>
      </c>
      <c r="C37" s="3">
        <f t="shared" si="0"/>
        <v>36</v>
      </c>
      <c r="D37" t="s">
        <v>137</v>
      </c>
      <c r="E37" t="s">
        <v>138</v>
      </c>
      <c r="F37" s="1" t="s">
        <v>23</v>
      </c>
      <c r="G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s="1" t="s">
        <v>130</v>
      </c>
      <c r="R37" s="2" t="s">
        <v>111</v>
      </c>
    </row>
    <row r="38" spans="1:19">
      <c r="A38" t="s">
        <v>70</v>
      </c>
      <c r="B38" t="s">
        <v>127</v>
      </c>
      <c r="C38" s="3">
        <f t="shared" si="0"/>
        <v>37</v>
      </c>
      <c r="D38" t="s">
        <v>139</v>
      </c>
      <c r="E38" t="s">
        <v>140</v>
      </c>
      <c r="F38" s="1" t="s">
        <v>23</v>
      </c>
      <c r="G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s="1" t="s">
        <v>130</v>
      </c>
      <c r="R38" s="2" t="s">
        <v>111</v>
      </c>
    </row>
    <row r="39" spans="1:19">
      <c r="A39" t="s">
        <v>70</v>
      </c>
      <c r="B39" t="s">
        <v>127</v>
      </c>
      <c r="C39" s="3">
        <f t="shared" si="0"/>
        <v>38</v>
      </c>
      <c r="D39" t="s">
        <v>141</v>
      </c>
      <c r="E39" t="s">
        <v>142</v>
      </c>
      <c r="F39" s="1" t="s">
        <v>23</v>
      </c>
      <c r="G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s="1" t="s">
        <v>130</v>
      </c>
      <c r="R39" s="2" t="s">
        <v>111</v>
      </c>
    </row>
    <row r="40" spans="1:19">
      <c r="A40" t="s">
        <v>70</v>
      </c>
      <c r="B40" t="s">
        <v>127</v>
      </c>
      <c r="C40" s="3">
        <f t="shared" si="0"/>
        <v>39</v>
      </c>
      <c r="D40" t="s">
        <v>143</v>
      </c>
      <c r="E40" t="s">
        <v>144</v>
      </c>
      <c r="F40" s="1" t="s">
        <v>23</v>
      </c>
      <c r="G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s="1" t="s">
        <v>130</v>
      </c>
      <c r="R40" s="2" t="s">
        <v>111</v>
      </c>
    </row>
    <row r="41" spans="1:19">
      <c r="A41" t="s">
        <v>70</v>
      </c>
      <c r="B41" t="s">
        <v>127</v>
      </c>
      <c r="C41" s="3">
        <f t="shared" si="0"/>
        <v>40</v>
      </c>
      <c r="D41" t="s">
        <v>145</v>
      </c>
      <c r="E41" t="s">
        <v>146</v>
      </c>
      <c r="F41" s="1" t="s">
        <v>23</v>
      </c>
      <c r="G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s="1" t="s">
        <v>130</v>
      </c>
      <c r="R41" s="2" t="s">
        <v>111</v>
      </c>
    </row>
    <row r="42" spans="1:19">
      <c r="A42" t="s">
        <v>70</v>
      </c>
      <c r="B42" t="s">
        <v>147</v>
      </c>
      <c r="C42" s="3">
        <f t="shared" si="0"/>
        <v>41</v>
      </c>
      <c r="D42" t="s">
        <v>148</v>
      </c>
      <c r="E42" t="s">
        <v>149</v>
      </c>
      <c r="F42" s="1" t="s">
        <v>23</v>
      </c>
      <c r="G42" t="s">
        <v>24</v>
      </c>
      <c r="H42" s="1" t="s">
        <v>25</v>
      </c>
      <c r="I42" s="1">
        <v>0.95</v>
      </c>
      <c r="J42" s="1" t="s">
        <v>25</v>
      </c>
      <c r="K42" s="1">
        <v>1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s="1" t="s">
        <v>130</v>
      </c>
      <c r="R42" s="2" t="s">
        <v>111</v>
      </c>
    </row>
    <row r="43" spans="1:19">
      <c r="A43" t="s">
        <v>70</v>
      </c>
      <c r="B43" t="s">
        <v>147</v>
      </c>
      <c r="C43" s="3">
        <f t="shared" si="0"/>
        <v>42</v>
      </c>
      <c r="D43" t="s">
        <v>150</v>
      </c>
      <c r="E43" t="s">
        <v>151</v>
      </c>
      <c r="F43" s="1" t="s">
        <v>152</v>
      </c>
      <c r="G43" t="s">
        <v>24</v>
      </c>
      <c r="H43" s="1" t="s">
        <v>25</v>
      </c>
      <c r="I43" s="1">
        <v>0.95</v>
      </c>
      <c r="J43" s="1" t="s">
        <v>25</v>
      </c>
      <c r="K43" s="1">
        <v>1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s="1" t="s">
        <v>130</v>
      </c>
      <c r="R43" s="2" t="s">
        <v>111</v>
      </c>
    </row>
    <row r="44" spans="1:19">
      <c r="A44" t="s">
        <v>70</v>
      </c>
      <c r="B44" t="s">
        <v>147</v>
      </c>
      <c r="C44" s="3">
        <f t="shared" si="0"/>
        <v>43</v>
      </c>
      <c r="D44" t="s">
        <v>153</v>
      </c>
      <c r="E44" t="s">
        <v>154</v>
      </c>
      <c r="F44" s="1" t="s">
        <v>43</v>
      </c>
      <c r="G44" t="s">
        <v>24</v>
      </c>
      <c r="H44" s="1" t="s">
        <v>25</v>
      </c>
      <c r="I44" s="1">
        <v>0.95</v>
      </c>
      <c r="J44" s="1" t="s">
        <v>25</v>
      </c>
      <c r="K44" s="1">
        <v>1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s="1" t="s">
        <v>130</v>
      </c>
      <c r="R44" s="2" t="s">
        <v>111</v>
      </c>
    </row>
    <row r="45" spans="1:19">
      <c r="A45" t="s">
        <v>70</v>
      </c>
      <c r="B45" t="s">
        <v>147</v>
      </c>
      <c r="C45" s="3">
        <f t="shared" si="0"/>
        <v>44</v>
      </c>
      <c r="D45" t="s">
        <v>155</v>
      </c>
      <c r="E45" t="s">
        <v>156</v>
      </c>
      <c r="F45" s="1" t="s">
        <v>43</v>
      </c>
      <c r="G45" t="s">
        <v>24</v>
      </c>
      <c r="H45" s="1" t="s">
        <v>25</v>
      </c>
      <c r="I45" s="1">
        <v>0.95</v>
      </c>
      <c r="J45" s="1" t="s">
        <v>25</v>
      </c>
      <c r="K45" s="1">
        <v>1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s="1" t="s">
        <v>130</v>
      </c>
      <c r="R45" s="2" t="s">
        <v>111</v>
      </c>
    </row>
    <row r="46" spans="1:19">
      <c r="A46" t="s">
        <v>70</v>
      </c>
      <c r="B46" t="s">
        <v>147</v>
      </c>
      <c r="C46" s="3">
        <f t="shared" si="0"/>
        <v>45</v>
      </c>
      <c r="D46" t="s">
        <v>157</v>
      </c>
      <c r="E46" t="s">
        <v>90</v>
      </c>
      <c r="F46" s="1" t="s">
        <v>43</v>
      </c>
      <c r="G46" t="s">
        <v>24</v>
      </c>
      <c r="H46" s="1" t="s">
        <v>25</v>
      </c>
      <c r="I46" s="1">
        <v>0.95</v>
      </c>
      <c r="J46" s="1" t="s">
        <v>25</v>
      </c>
      <c r="K46" s="1">
        <v>1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s="1" t="s">
        <v>130</v>
      </c>
      <c r="R46" s="2" t="s">
        <v>111</v>
      </c>
    </row>
    <row r="47" spans="1:19">
      <c r="A47" t="s">
        <v>70</v>
      </c>
      <c r="B47" t="s">
        <v>158</v>
      </c>
      <c r="C47" s="3">
        <f t="shared" si="0"/>
        <v>46</v>
      </c>
      <c r="D47" t="s">
        <v>159</v>
      </c>
      <c r="E47" t="s">
        <v>160</v>
      </c>
      <c r="F47" s="1" t="s">
        <v>43</v>
      </c>
      <c r="G47" t="s">
        <v>24</v>
      </c>
      <c r="H47" s="1" t="s">
        <v>25</v>
      </c>
      <c r="I47" s="1">
        <v>0.95</v>
      </c>
      <c r="J47" s="1" t="s">
        <v>25</v>
      </c>
      <c r="K47" s="1">
        <v>1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s="1" t="s">
        <v>130</v>
      </c>
      <c r="R47" s="2" t="s">
        <v>111</v>
      </c>
    </row>
    <row r="48" spans="1:19">
      <c r="A48" t="s">
        <v>70</v>
      </c>
      <c r="B48" t="s">
        <v>158</v>
      </c>
      <c r="C48" s="3">
        <f t="shared" si="0"/>
        <v>47</v>
      </c>
      <c r="D48" t="s">
        <v>161</v>
      </c>
      <c r="E48" t="s">
        <v>162</v>
      </c>
      <c r="F48" s="1" t="s">
        <v>43</v>
      </c>
      <c r="G48" t="s">
        <v>24</v>
      </c>
      <c r="H48" s="1" t="s">
        <v>25</v>
      </c>
      <c r="I48" s="1">
        <v>0.95</v>
      </c>
      <c r="J48" s="1" t="s">
        <v>25</v>
      </c>
      <c r="K48" s="1">
        <v>1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s="1" t="s">
        <v>130</v>
      </c>
      <c r="R48" s="2" t="s">
        <v>111</v>
      </c>
    </row>
    <row r="49" spans="1:18">
      <c r="A49" t="s">
        <v>70</v>
      </c>
      <c r="B49" t="s">
        <v>158</v>
      </c>
      <c r="C49" s="3">
        <f t="shared" si="0"/>
        <v>48</v>
      </c>
      <c r="D49" t="s">
        <v>163</v>
      </c>
      <c r="E49" t="s">
        <v>164</v>
      </c>
      <c r="F49" s="1" t="s">
        <v>43</v>
      </c>
      <c r="G49" t="s">
        <v>24</v>
      </c>
      <c r="H49" s="1" t="s">
        <v>25</v>
      </c>
      <c r="I49" s="1">
        <v>0.95</v>
      </c>
      <c r="J49" s="1" t="s">
        <v>25</v>
      </c>
      <c r="K49" s="1">
        <v>1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s="1" t="s">
        <v>130</v>
      </c>
      <c r="R49" s="2" t="s">
        <v>111</v>
      </c>
    </row>
    <row r="50" spans="1:18">
      <c r="A50" t="s">
        <v>70</v>
      </c>
      <c r="B50" t="s">
        <v>158</v>
      </c>
      <c r="C50" s="3">
        <f t="shared" si="0"/>
        <v>49</v>
      </c>
      <c r="D50" t="s">
        <v>165</v>
      </c>
      <c r="E50" t="s">
        <v>166</v>
      </c>
      <c r="F50" s="1" t="s">
        <v>167</v>
      </c>
      <c r="G50" t="s">
        <v>24</v>
      </c>
      <c r="H50" s="1" t="s">
        <v>25</v>
      </c>
      <c r="I50" s="1">
        <v>0.95</v>
      </c>
      <c r="J50" s="1" t="s">
        <v>25</v>
      </c>
      <c r="K50" s="1">
        <v>1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s="1" t="s">
        <v>130</v>
      </c>
      <c r="R50" s="2" t="s">
        <v>111</v>
      </c>
    </row>
    <row r="51" spans="1:18">
      <c r="A51" t="s">
        <v>70</v>
      </c>
      <c r="B51" t="s">
        <v>158</v>
      </c>
      <c r="C51" s="3">
        <f t="shared" si="0"/>
        <v>50</v>
      </c>
      <c r="D51" t="s">
        <v>168</v>
      </c>
      <c r="E51" t="s">
        <v>169</v>
      </c>
      <c r="F51" s="1" t="s">
        <v>43</v>
      </c>
      <c r="G51" t="s">
        <v>24</v>
      </c>
      <c r="H51" s="1" t="s">
        <v>25</v>
      </c>
      <c r="I51" s="1">
        <v>0.95</v>
      </c>
      <c r="J51" s="1" t="s">
        <v>25</v>
      </c>
      <c r="K51" s="1">
        <v>1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s="1" t="s">
        <v>130</v>
      </c>
      <c r="R51" s="2" t="s">
        <v>111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26BE-F16B-41BF-A836-8B94606033D3}">
  <dimension ref="A1:C7"/>
  <sheetViews>
    <sheetView workbookViewId="0">
      <selection activeCell="D1" sqref="D1:D1048576"/>
    </sheetView>
  </sheetViews>
  <sheetFormatPr defaultRowHeight="15"/>
  <cols>
    <col min="1" max="1" width="11.140625" bestFit="1" customWidth="1"/>
    <col min="2" max="2" width="12.140625" bestFit="1" customWidth="1"/>
    <col min="3" max="3" width="21.140625" bestFit="1" customWidth="1"/>
  </cols>
  <sheetData>
    <row r="1" spans="1:3">
      <c r="A1" t="s">
        <v>1</v>
      </c>
      <c r="B1" t="s">
        <v>170</v>
      </c>
      <c r="C1" t="s">
        <v>171</v>
      </c>
    </row>
    <row r="2" spans="1:3">
      <c r="A2" t="s">
        <v>20</v>
      </c>
      <c r="B2" t="s">
        <v>26</v>
      </c>
      <c r="C2" t="s">
        <v>24</v>
      </c>
    </row>
    <row r="3" spans="1:3">
      <c r="A3" t="s">
        <v>71</v>
      </c>
      <c r="B3" t="s">
        <v>24</v>
      </c>
      <c r="C3" t="s">
        <v>26</v>
      </c>
    </row>
    <row r="4" spans="1:3">
      <c r="A4" t="s">
        <v>92</v>
      </c>
      <c r="B4" t="s">
        <v>26</v>
      </c>
      <c r="C4" t="s">
        <v>26</v>
      </c>
    </row>
    <row r="5" spans="1:3">
      <c r="A5" t="s">
        <v>127</v>
      </c>
      <c r="B5" t="s">
        <v>24</v>
      </c>
      <c r="C5" t="s">
        <v>26</v>
      </c>
    </row>
    <row r="6" spans="1:3">
      <c r="A6" t="s">
        <v>147</v>
      </c>
      <c r="B6" t="s">
        <v>24</v>
      </c>
      <c r="C6" t="s">
        <v>26</v>
      </c>
    </row>
    <row r="7" spans="1:3">
      <c r="A7" t="s">
        <v>158</v>
      </c>
      <c r="B7" t="s">
        <v>26</v>
      </c>
      <c r="C7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F7D99C5B10945BE5F8D5A76D7BAAA" ma:contentTypeVersion="11" ma:contentTypeDescription="Create a new document." ma:contentTypeScope="" ma:versionID="e4ff9526290f784462cc0c51d810a7eb">
  <xsd:schema xmlns:xsd="http://www.w3.org/2001/XMLSchema" xmlns:xs="http://www.w3.org/2001/XMLSchema" xmlns:p="http://schemas.microsoft.com/office/2006/metadata/properties" xmlns:ns2="721eeabf-0a4e-48c0-a442-4ab52e738567" xmlns:ns3="86ba3eea-a814-458a-8d0c-2d54c42563f3" targetNamespace="http://schemas.microsoft.com/office/2006/metadata/properties" ma:root="true" ma:fieldsID="ee585db3abf119be407824af0c180f14" ns2:_="" ns3:_="">
    <xsd:import namespace="721eeabf-0a4e-48c0-a442-4ab52e738567"/>
    <xsd:import namespace="86ba3eea-a814-458a-8d0c-2d54c42563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eeabf-0a4e-48c0-a442-4ab52e738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e537eb2-d2b7-44a8-833a-5538858146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a3eea-a814-458a-8d0c-2d54c42563f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5d1a67e-04a2-4354-9977-64989332fbc9}" ma:internalName="TaxCatchAll" ma:showField="CatchAllData" ma:web="86ba3eea-a814-458a-8d0c-2d54c42563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ba3eea-a814-458a-8d0c-2d54c42563f3" xsi:nil="true"/>
    <lcf76f155ced4ddcb4097134ff3c332f xmlns="721eeabf-0a4e-48c0-a442-4ab52e7385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9A7528-0307-41DA-B55B-AAC8D6DCD2E6}"/>
</file>

<file path=customXml/itemProps2.xml><?xml version="1.0" encoding="utf-8"?>
<ds:datastoreItem xmlns:ds="http://schemas.openxmlformats.org/officeDocument/2006/customXml" ds:itemID="{1CD35CC6-5864-4231-90B4-F02AAB9A414E}"/>
</file>

<file path=customXml/itemProps3.xml><?xml version="1.0" encoding="utf-8"?>
<ds:datastoreItem xmlns:ds="http://schemas.openxmlformats.org/officeDocument/2006/customXml" ds:itemID="{13AA04EE-AD37-4B35-BFD3-1AAE7C8935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Foster</dc:creator>
  <cp:keywords/>
  <dc:description/>
  <cp:lastModifiedBy>Steven Foster</cp:lastModifiedBy>
  <cp:revision/>
  <dcterms:created xsi:type="dcterms:W3CDTF">2026-08-28T14:03:57Z</dcterms:created>
  <dcterms:modified xsi:type="dcterms:W3CDTF">2026-09-17T15:05:18Z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0x0101009DDF7D99C5B10945BE5F8D5A76D7BAAA</vt:lpwstr>
  </property>
  <property fmtid="{D5CDD505-2E9C-101B-9397-08002B2CF9AE}" pid="3" name="MediaServiceImageTags">
    <vt:lpwstr/>
  </property>
</Properties>
</file>